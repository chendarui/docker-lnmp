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4"/>
  </bookViews>
  <sheets>
    <sheet name="Sheet2" sheetId="5" r:id="rId1"/>
    <sheet name="Sheet1" sheetId="2" r:id="rId2"/>
    <sheet name="Sheet3" sheetId="3" r:id="rId3"/>
    <sheet name="Sheet5" sheetId="4" r:id="rId4"/>
    <sheet name="订单号" sheetId="6" r:id="rId5"/>
    <sheet name="Sheet4" sheetId="7" r:id="rId6"/>
  </sheets>
  <definedNames>
    <definedName name="_xlnm._FilterDatabase" localSheetId="1" hidden="1">Sheet1!$A$1:$CU$756</definedName>
    <definedName name="_xlnm._FilterDatabase" localSheetId="2" hidden="1">Sheet3!$A$1:$E$47</definedName>
    <definedName name="_xlnm._FilterDatabase" localSheetId="3" hidden="1">Sheet5!$A$1:$A$105</definedName>
  </definedNames>
  <calcPr calcId="144525"/>
  <pivotCaches>
    <pivotCache cacheId="0" r:id="rId7"/>
  </pivotCaches>
</workbook>
</file>

<file path=xl/sharedStrings.xml><?xml version="1.0" encoding="utf-8"?>
<sst xmlns="http://schemas.openxmlformats.org/spreadsheetml/2006/main" count="59458" uniqueCount="1140">
  <si>
    <t>OMS母单号</t>
  </si>
  <si>
    <t>D20220819195001000494</t>
  </si>
  <si>
    <t>D20220819195002000496</t>
  </si>
  <si>
    <t>D20220819201002000501</t>
  </si>
  <si>
    <t>D20220819201002000502</t>
  </si>
  <si>
    <t>D20220819204502000517</t>
  </si>
  <si>
    <t>D20220819205002000519</t>
  </si>
  <si>
    <t>D20220819205502000523</t>
  </si>
  <si>
    <t>D20220819205502000524</t>
  </si>
  <si>
    <t>D20220819205502000526</t>
  </si>
  <si>
    <t>D20220819205502000527</t>
  </si>
  <si>
    <t>D20220819205502000528</t>
  </si>
  <si>
    <t>D20220819205502000529</t>
  </si>
  <si>
    <t>D20220819210003000536</t>
  </si>
  <si>
    <t>D20220819210003000537</t>
  </si>
  <si>
    <t>D20220819212002000546</t>
  </si>
  <si>
    <t>D20220819212002000547</t>
  </si>
  <si>
    <t>D20220819212002000548</t>
  </si>
  <si>
    <t>D20220819212502000554</t>
  </si>
  <si>
    <t>D20220819213002000563</t>
  </si>
  <si>
    <t>D20220819213002000566</t>
  </si>
  <si>
    <t>D20220819213502000574</t>
  </si>
  <si>
    <t>D20220819214001000580</t>
  </si>
  <si>
    <t>D20220819214001000583</t>
  </si>
  <si>
    <t>D20220819214001000584</t>
  </si>
  <si>
    <t>D20220819214502000586</t>
  </si>
  <si>
    <t>D20220819214502000587</t>
  </si>
  <si>
    <t>D20220819214502000589</t>
  </si>
  <si>
    <t>D20220819222002000613</t>
  </si>
  <si>
    <t>D20220819222501000615</t>
  </si>
  <si>
    <t>D20220819225002000639</t>
  </si>
  <si>
    <t>D20220819230003000646</t>
  </si>
  <si>
    <t>D20220820004502000019</t>
  </si>
  <si>
    <t>D20220820004502000020</t>
  </si>
  <si>
    <t>D20220820005501000022</t>
  </si>
  <si>
    <t>D20220820010002000026</t>
  </si>
  <si>
    <t>D20220820101002000100</t>
  </si>
  <si>
    <t>D20220820105002000140</t>
  </si>
  <si>
    <t>D20220820105002000141</t>
  </si>
  <si>
    <t>D20220820110502000155</t>
  </si>
  <si>
    <t>D20220820111001000157</t>
  </si>
  <si>
    <t>D20220820120502000210</t>
  </si>
  <si>
    <t>D20220820120502000212</t>
  </si>
  <si>
    <t>D20220820134501000258</t>
  </si>
  <si>
    <t>D20220820134501000259</t>
  </si>
  <si>
    <t>D20220820150002000290</t>
  </si>
  <si>
    <t>D20220820150002000291</t>
  </si>
  <si>
    <t>D20220820155002000322</t>
  </si>
  <si>
    <t>D20220820155002000324</t>
  </si>
  <si>
    <t>D20220821052002000037</t>
  </si>
  <si>
    <t>D20220821052502000038</t>
  </si>
  <si>
    <t>D20220821110002000105</t>
  </si>
  <si>
    <t>D20220821124501000162</t>
  </si>
  <si>
    <t>D20220821124501000164</t>
  </si>
  <si>
    <t>D20220821131502000180</t>
  </si>
  <si>
    <t>D20220821131502000182</t>
  </si>
  <si>
    <t>D20220821133502000193_0830</t>
  </si>
  <si>
    <t>D20220821135002000201</t>
  </si>
  <si>
    <t>D20220821165002000295</t>
  </si>
  <si>
    <t>D20220821171501000321</t>
  </si>
  <si>
    <t>D20220821214501000477</t>
  </si>
  <si>
    <t>D20220821215002000481</t>
  </si>
  <si>
    <t>D20220822001501000008</t>
  </si>
  <si>
    <t>D20220822002001000009</t>
  </si>
  <si>
    <t>D20220822013502000026</t>
  </si>
  <si>
    <t>D20220822014001000027</t>
  </si>
  <si>
    <t>D20220822095002000057</t>
  </si>
  <si>
    <t>D20220822115002000151</t>
  </si>
  <si>
    <t>D20220822115502000158</t>
  </si>
  <si>
    <t>D20220822120003000161</t>
  </si>
  <si>
    <t>D20220822120003000162</t>
  </si>
  <si>
    <t>D20220822121501000177</t>
  </si>
  <si>
    <t>D20220822121501000178</t>
  </si>
  <si>
    <t>D20220822125002000199</t>
  </si>
  <si>
    <t>D20220822125502000202</t>
  </si>
  <si>
    <t>D20220822130002000208</t>
  </si>
  <si>
    <t>D20220822131502000219</t>
  </si>
  <si>
    <t>D20220822131502000220</t>
  </si>
  <si>
    <t>D20220822132002000222</t>
  </si>
  <si>
    <t>D20220822162502000468</t>
  </si>
  <si>
    <t>D20220822163001000469</t>
  </si>
  <si>
    <t>D20220822192002000566</t>
  </si>
  <si>
    <t>D20220822193001000568</t>
  </si>
  <si>
    <t>D20220822205001000599</t>
  </si>
  <si>
    <t>D20220822205001000600</t>
  </si>
  <si>
    <t>D20220822205001000601</t>
  </si>
  <si>
    <t>D20220822205001000607</t>
  </si>
  <si>
    <t>D20220823204501000469</t>
  </si>
  <si>
    <t>D20220823233001000573</t>
  </si>
  <si>
    <t>D20220823233001000574</t>
  </si>
  <si>
    <t>D20220823233001000576</t>
  </si>
  <si>
    <t>D20220823233502000577</t>
  </si>
  <si>
    <t>D20220824034002000051</t>
  </si>
  <si>
    <t>D20220824034502000052</t>
  </si>
  <si>
    <t>D20220824110501000187</t>
  </si>
  <si>
    <t>D20220824110501000190</t>
  </si>
  <si>
    <t>D20220825083002000062</t>
  </si>
  <si>
    <t>D20220825083501000068</t>
  </si>
  <si>
    <t>D20220825142002000409</t>
  </si>
  <si>
    <t>D20220825142002000410</t>
  </si>
  <si>
    <t>D20220825142002000411</t>
  </si>
  <si>
    <t>D20220825142002000412</t>
  </si>
  <si>
    <t>D20220826100003000099</t>
  </si>
  <si>
    <t>D20220826100003000100</t>
  </si>
  <si>
    <t>总计</t>
  </si>
  <si>
    <t>单据类型</t>
  </si>
  <si>
    <t>单据类型描述</t>
  </si>
  <si>
    <t>单据号</t>
  </si>
  <si>
    <t>销售组织</t>
  </si>
  <si>
    <t>销售组织描述</t>
  </si>
  <si>
    <t>分销渠道</t>
  </si>
  <si>
    <t>分销渠道描述</t>
  </si>
  <si>
    <t>产品组</t>
  </si>
  <si>
    <t>产品组描述</t>
  </si>
  <si>
    <t>销售部门</t>
  </si>
  <si>
    <t>销售部门描述</t>
  </si>
  <si>
    <t>销售组</t>
  </si>
  <si>
    <t>销售组描述</t>
  </si>
  <si>
    <t>项目编号</t>
  </si>
  <si>
    <t>项目名称</t>
  </si>
  <si>
    <t>订单来源</t>
  </si>
  <si>
    <t>第三方网订单号</t>
  </si>
  <si>
    <t>客户PO单号</t>
  </si>
  <si>
    <t>单据时间</t>
  </si>
  <si>
    <t>单据创建人</t>
  </si>
  <si>
    <t>单据创建人名称</t>
  </si>
  <si>
    <t>单据创建日期</t>
  </si>
  <si>
    <t>单据创建时间</t>
  </si>
  <si>
    <t>售达方编码</t>
  </si>
  <si>
    <t>售达方名称</t>
  </si>
  <si>
    <t>送达方编码</t>
  </si>
  <si>
    <t>送达方名称</t>
  </si>
  <si>
    <t>业务员</t>
  </si>
  <si>
    <t>客服人员</t>
  </si>
  <si>
    <t>对账员</t>
  </si>
  <si>
    <t>收货人</t>
  </si>
  <si>
    <t>收货人部门</t>
  </si>
  <si>
    <t>收货手机号码</t>
  </si>
  <si>
    <t>收货人电子邮箱</t>
  </si>
  <si>
    <t>收货人地址</t>
  </si>
  <si>
    <t>工厂</t>
  </si>
  <si>
    <t>工厂描述</t>
  </si>
  <si>
    <t>开票类型</t>
  </si>
  <si>
    <t>抬头销售订单备注文本</t>
  </si>
  <si>
    <t>抬头采购申请备注文本</t>
  </si>
  <si>
    <t>线路编号</t>
  </si>
  <si>
    <t>线路名称</t>
  </si>
  <si>
    <t>OMS制单人</t>
  </si>
  <si>
    <t>行号</t>
  </si>
  <si>
    <t>物料编号</t>
  </si>
  <si>
    <t>物料名称</t>
  </si>
  <si>
    <t>客户物料编号</t>
  </si>
  <si>
    <t>物料外文名称</t>
  </si>
  <si>
    <t>OMS客户物料编码</t>
  </si>
  <si>
    <t>OMS客户物料名称</t>
  </si>
  <si>
    <t>品牌</t>
  </si>
  <si>
    <t>店铺编号</t>
  </si>
  <si>
    <t>店铺名称</t>
  </si>
  <si>
    <t>子公司属性</t>
  </si>
  <si>
    <t>集团属性</t>
  </si>
  <si>
    <t>采购组</t>
  </si>
  <si>
    <t>拒绝原因代码</t>
  </si>
  <si>
    <t>拒绝原因文本</t>
  </si>
  <si>
    <t>库存地点</t>
  </si>
  <si>
    <t>库存地点描述</t>
  </si>
  <si>
    <t>单位</t>
  </si>
  <si>
    <t>条件定价单位</t>
  </si>
  <si>
    <t>开票单位</t>
  </si>
  <si>
    <t>销售数量</t>
  </si>
  <si>
    <t>交货数量</t>
  </si>
  <si>
    <t>未交货数量</t>
  </si>
  <si>
    <t>未交货金额</t>
  </si>
  <si>
    <t>单据交货状态</t>
  </si>
  <si>
    <t>单据总状态</t>
  </si>
  <si>
    <t>销售单价(不含税)</t>
  </si>
  <si>
    <t>销售金额(不含税)</t>
  </si>
  <si>
    <t>销售单价(含税)</t>
  </si>
  <si>
    <t>销售金额(含税)</t>
  </si>
  <si>
    <t>销售成本金额</t>
  </si>
  <si>
    <t>销售毛利</t>
  </si>
  <si>
    <t>销售毛利率</t>
  </si>
  <si>
    <t>税额</t>
  </si>
  <si>
    <t>税率</t>
  </si>
  <si>
    <t>采购申请单号</t>
  </si>
  <si>
    <t>采购申请项目号</t>
  </si>
  <si>
    <t>采购订单</t>
  </si>
  <si>
    <t>采购订单行号</t>
  </si>
  <si>
    <t>交货已完成</t>
  </si>
  <si>
    <t>交货日期</t>
  </si>
  <si>
    <t>交货单号</t>
  </si>
  <si>
    <t>交货单行号</t>
  </si>
  <si>
    <t>采购申请日期</t>
  </si>
  <si>
    <t>采购订单日期</t>
  </si>
  <si>
    <t>采购收货日期</t>
  </si>
  <si>
    <t>银行流水</t>
  </si>
  <si>
    <t>快递公司代码</t>
  </si>
  <si>
    <t>快递单号</t>
  </si>
  <si>
    <t>传TMS标识</t>
  </si>
  <si>
    <t>打印不含税价格</t>
  </si>
  <si>
    <t>TMS运单号</t>
  </si>
  <si>
    <t>明细行备注</t>
  </si>
  <si>
    <t>未签收标识</t>
  </si>
  <si>
    <t>未签收原因</t>
  </si>
  <si>
    <t>Z004</t>
  </si>
  <si>
    <t>跨公司销售订单</t>
  </si>
  <si>
    <t>1101180437</t>
  </si>
  <si>
    <t>1000</t>
  </si>
  <si>
    <t>欧菲斯集团股份有限公司</t>
  </si>
  <si>
    <t>10</t>
  </si>
  <si>
    <t>通用分销渠道</t>
  </si>
  <si>
    <t>01</t>
  </si>
  <si>
    <t>产品组 01</t>
  </si>
  <si>
    <t>A001</t>
  </si>
  <si>
    <t>集团_交付服务管理中心_交付管理部</t>
  </si>
  <si>
    <t>A01</t>
  </si>
  <si>
    <t>交付一组</t>
  </si>
  <si>
    <t>0000006526</t>
  </si>
  <si>
    <t>批发_1030_1030_1030</t>
  </si>
  <si>
    <t>ZFFT</t>
  </si>
  <si>
    <t/>
  </si>
  <si>
    <t>OFFICEMATE</t>
  </si>
  <si>
    <t>OFS接口账号</t>
  </si>
  <si>
    <t>0010153452</t>
  </si>
  <si>
    <t>贵州优材新艺涡轮叶片制造有限公司</t>
  </si>
  <si>
    <t>李丹</t>
  </si>
  <si>
    <t>赵玥</t>
  </si>
  <si>
    <t>唐海雄</t>
  </si>
  <si>
    <t>13118218881</t>
  </si>
  <si>
    <t>四川省遂宁市船山区惠民小区</t>
  </si>
  <si>
    <t>1030</t>
  </si>
  <si>
    <t>重庆福分通工厂</t>
  </si>
  <si>
    <t>Z4不开票</t>
  </si>
  <si>
    <t>跨公司销售订单:1101180437;客户PO号: 网订单号:D20220819204502000517 下单客户:63404 项目名称:批发_1030_1030_1030 客户备注:项目：北京中航金网-中国航发-线下_1000_1000_1000 网订单号：20220819203243000635客户备注：</t>
  </si>
  <si>
    <t>跨公司销售订单:1101180437;第三方网订单号:D20220819204502000517 ##客户备注:项目：北京中航金网-中国航发-线下_1000_1000_1000 网订单号：20220819203243000635 客户备注：</t>
  </si>
  <si>
    <t>63404</t>
  </si>
  <si>
    <t>心意优选黑豆</t>
  </si>
  <si>
    <t>燕之坊 心意优选黑豆  405g 真空包装完整12个月</t>
  </si>
  <si>
    <t>燕之坊</t>
  </si>
  <si>
    <t>试销</t>
  </si>
  <si>
    <t>A005</t>
  </si>
  <si>
    <t>京东仓</t>
  </si>
  <si>
    <t>袋</t>
  </si>
  <si>
    <t>完全地处理</t>
  </si>
  <si>
    <t>9.00%</t>
  </si>
  <si>
    <t>0</t>
  </si>
  <si>
    <t>8101491512</t>
  </si>
  <si>
    <t>否</t>
  </si>
  <si>
    <t>11</t>
  </si>
  <si>
    <t>牙膏</t>
  </si>
  <si>
    <t>云南白药 牙膏   180g 留兰香型</t>
  </si>
  <si>
    <t>云南白药</t>
  </si>
  <si>
    <t>标配</t>
  </si>
  <si>
    <t>支</t>
  </si>
  <si>
    <t>5.01%</t>
  </si>
  <si>
    <t>13.00%</t>
  </si>
  <si>
    <t>20</t>
  </si>
  <si>
    <t>12</t>
  </si>
  <si>
    <t>鲜花芳香柔净洗发露</t>
  </si>
  <si>
    <t>惠润 鲜花芳香柔净洗发露 831190 600ml</t>
  </si>
  <si>
    <t>惠润</t>
  </si>
  <si>
    <t>瓶</t>
  </si>
  <si>
    <t>5.00%</t>
  </si>
  <si>
    <t>30</t>
  </si>
  <si>
    <t>13</t>
  </si>
  <si>
    <t>泡沫沐浴露</t>
  </si>
  <si>
    <t>舒肤佳 泡沫沐浴露   舒缓茶树油 500ml 清香</t>
  </si>
  <si>
    <t>舒肤佳</t>
  </si>
  <si>
    <t>40</t>
  </si>
  <si>
    <t>14</t>
  </si>
  <si>
    <t>洁净洗衣液</t>
  </si>
  <si>
    <t>蓝月亮 洁净洗衣液  茉莉清香 3kg 蓝色</t>
  </si>
  <si>
    <t>蓝月亮</t>
  </si>
  <si>
    <t>4.99%</t>
  </si>
  <si>
    <t>50</t>
  </si>
  <si>
    <t>15</t>
  </si>
  <si>
    <t>毛巾</t>
  </si>
  <si>
    <t>金号 毛巾 MZ1300W 74*35cm 100%棉 蓝色</t>
  </si>
  <si>
    <t>金号</t>
  </si>
  <si>
    <t>条</t>
  </si>
  <si>
    <t>60</t>
  </si>
  <si>
    <t>16</t>
  </si>
  <si>
    <t>洗洁精</t>
  </si>
  <si>
    <t>立白 洗洁精  500g 果醋</t>
  </si>
  <si>
    <t>立白</t>
  </si>
  <si>
    <t>70</t>
  </si>
  <si>
    <t>1101180439</t>
  </si>
  <si>
    <t>邓世鑫</t>
  </si>
  <si>
    <t>13881011563</t>
  </si>
  <si>
    <t>四川省德阳市中江县锦竹村7组</t>
  </si>
  <si>
    <t>跨公司销售订单:1101180439;客户PO号: 网订单号:D20220819205502000528 下单客户:63413 项目名称:批发_1030_1030_1030 客户备注:项目：北京中航金网-中国航发-线下_1000_1000_1000 网订单号：20220819204154000647客户备注：</t>
  </si>
  <si>
    <t>跨公司销售订单:1101180439;第三方网订单号:D20220819205502000528 ##客户备注:项目：北京中航金网-中国航发-线下_1000_1000_1000 网订单号：20220819204154000647 客户备注：</t>
  </si>
  <si>
    <t>63413</t>
  </si>
  <si>
    <t>彩衣漂净液</t>
  </si>
  <si>
    <t>超能 彩衣漂净液  600g</t>
  </si>
  <si>
    <t>超能</t>
  </si>
  <si>
    <t>8101491513</t>
  </si>
  <si>
    <t>洗衣粉</t>
  </si>
  <si>
    <t>碧浪 洗衣粉  1.7KG  清雅茉莉</t>
  </si>
  <si>
    <t>碧浪</t>
  </si>
  <si>
    <t>4.98%</t>
  </si>
  <si>
    <t>炭丝能量牙刷</t>
  </si>
  <si>
    <t>舒客 炭丝能量牙刷  双支装</t>
  </si>
  <si>
    <t>舒客</t>
  </si>
  <si>
    <t>组</t>
  </si>
  <si>
    <t>健康抑菌洗手液 倍护滋润</t>
  </si>
  <si>
    <t>威露士 健康抑菌洗手液 倍护滋润   525ml   无香</t>
  </si>
  <si>
    <t>威露士</t>
  </si>
  <si>
    <t>4.96%</t>
  </si>
  <si>
    <t>无患子洗发水</t>
  </si>
  <si>
    <t>滋源 无患子洗发水  535ml 无患子 无硅油</t>
  </si>
  <si>
    <t>滋源</t>
  </si>
  <si>
    <t>内衣皂</t>
  </si>
  <si>
    <t>立白 内衣皂  101g*2块 内衣专用除菌</t>
  </si>
  <si>
    <t>包</t>
  </si>
  <si>
    <t>5.08%</t>
  </si>
  <si>
    <t>17</t>
  </si>
  <si>
    <t>80</t>
  </si>
  <si>
    <t>18</t>
  </si>
  <si>
    <t>90</t>
  </si>
  <si>
    <t>19</t>
  </si>
  <si>
    <t>100</t>
  </si>
  <si>
    <t>1101180441</t>
  </si>
  <si>
    <t>何建朝</t>
  </si>
  <si>
    <t>15289201033</t>
  </si>
  <si>
    <t>陕西省咸阳市礼泉县礼泉县西张堡镇沿村七组</t>
  </si>
  <si>
    <t>跨公司销售订单:1101180441;客户PO号: 网订单号:D20220819212002000546 下单客户:63387 项目名称:批发_1030_1030_1030 客户备注:项目：北京中航金网-中国航发-线下_1000_1000_1000 网订单号：20220819210444000668客户备注：</t>
  </si>
  <si>
    <t>跨公司销售订单:1101180441;第三方网订单号:D20220819212002000546 ##客户备注:项目：北京中航金网-中国航发-线下_1000_1000_1000 网订单号：20220819210444000668 客户备注：</t>
  </si>
  <si>
    <t>63387</t>
  </si>
  <si>
    <t>BASE系列有芯有膜卷纸</t>
  </si>
  <si>
    <t>斑布 BASE系列有芯有膜卷纸 BCJ140A4 102*110mm(节） 3层 140g/卷 4卷/提</t>
  </si>
  <si>
    <t>斑布</t>
  </si>
  <si>
    <t>提</t>
  </si>
  <si>
    <t>8101491514</t>
  </si>
  <si>
    <t>泡沫抑菌洗手液</t>
  </si>
  <si>
    <t>超能 泡沫抑菌洗手液  258ml 橄榄叶淡淡清香 滋润保湿 保质期2年</t>
  </si>
  <si>
    <t>可悠然美肌沐浴露</t>
  </si>
  <si>
    <t>资生堂 可悠然美肌沐浴露   550ml 恬静清香</t>
  </si>
  <si>
    <t>资生堂</t>
  </si>
  <si>
    <t>幽香馥郁洗发水</t>
  </si>
  <si>
    <t>海飞丝 幽香馥郁洗发水   450ml 小苍兰香</t>
  </si>
  <si>
    <t>海飞丝</t>
  </si>
  <si>
    <t>1101180444</t>
  </si>
  <si>
    <t>舒靖</t>
  </si>
  <si>
    <t>18892189828</t>
  </si>
  <si>
    <t>陕西省渭南市韩城市一区七号楼三单元四楼西户</t>
  </si>
  <si>
    <t>跨公司销售订单:1101180444;客户PO号: 网订单号:D20220819212502000554 下单客户:63385 项目名称:批发_1030_1030_1030 客户备注:项目：北京中航金网-中国航发-线下_1000_1000_1000 网订单号：20220819211323000676客户备注：</t>
  </si>
  <si>
    <t>跨公司销售订单:1101180444;第三方网订单号:D20220819212502000554 ##客户备注:项目：北京中航金网-中国航发-线下_1000_1000_1000 网订单号：20220819211323000676 客户备注：</t>
  </si>
  <si>
    <t>63385</t>
  </si>
  <si>
    <t>8101491515</t>
  </si>
  <si>
    <t>素色缎档浴巾</t>
  </si>
  <si>
    <t>洁丽雅 素色缎档浴巾 W0591 规格：68*135cm 340g 材质：100%棉 颜色随机</t>
  </si>
  <si>
    <t>洁丽雅</t>
  </si>
  <si>
    <t>沐浴乳</t>
  </si>
  <si>
    <t>力士 沐浴乳  小苍兰香与茶树 550g</t>
  </si>
  <si>
    <t>力士</t>
  </si>
  <si>
    <t>玫瑰精油皂</t>
  </si>
  <si>
    <t>罗兰 玫瑰精油皂   128G</t>
  </si>
  <si>
    <t>罗兰</t>
  </si>
  <si>
    <t>块</t>
  </si>
  <si>
    <t>洗发水</t>
  </si>
  <si>
    <t>沙宣 洗发水  400ml</t>
  </si>
  <si>
    <t>沙宣</t>
  </si>
  <si>
    <t>1101180445</t>
  </si>
  <si>
    <t>周娟</t>
  </si>
  <si>
    <t>18883780511</t>
  </si>
  <si>
    <t>重庆重庆市酉阳县生基村10组</t>
  </si>
  <si>
    <t>跨公司销售订单:1101180445;客户PO号: 网订单号:D20220819214001000583 下单客户:63379 项目名称:批发_1030_1030_1030 客户备注:项目：北京中航金网-中国航发-线下_1000_1000_1000 网订单号：20220819212609000706客户备注：</t>
  </si>
  <si>
    <t>跨公司销售订单:1101180445;第三方网订单号:D20220819214001000583 ##客户备注:项目：北京中航金网-中国航发-线下_1000_1000_1000 网订单号：20220819212609000706 客户备注：</t>
  </si>
  <si>
    <t>63379</t>
  </si>
  <si>
    <t>8101491516</t>
  </si>
  <si>
    <t>1101180446</t>
  </si>
  <si>
    <t>刘俊</t>
  </si>
  <si>
    <t>18581703116</t>
  </si>
  <si>
    <t>四川省南充市南部县幸福小区下二排（黄家坝小区）</t>
  </si>
  <si>
    <t>跨公司销售订单:1101180446;客户PO号: 网订单号:D20220820150002000290 下单客户:63411 项目名称:批发_1030_1030_1030 客户备注:项目：北京中航金网-中国航发-线下_1000_1000_1000 网订单号：20220820144432000325客户备注：</t>
  </si>
  <si>
    <t>跨公司销售订单:1101180446;第三方网订单号:D20220820150002000290 ##客户备注:项目：北京中航金网-中国航发-线下_1000_1000_1000 网订单号：20220820144432000325 客户备注：</t>
  </si>
  <si>
    <t>63411</t>
  </si>
  <si>
    <t>洗衣皂</t>
  </si>
  <si>
    <t>碧浪 洗衣皂  202g*2 巨划算装 除菌除螨 花香型</t>
  </si>
  <si>
    <t>8101491517</t>
  </si>
  <si>
    <t>茉莉花茶</t>
  </si>
  <si>
    <t>东方树叶 茉莉花茶  500ml/瓶 15瓶/箱</t>
  </si>
  <si>
    <t>东方树叶</t>
  </si>
  <si>
    <t>箱</t>
  </si>
  <si>
    <t>纯牛奶</t>
  </si>
  <si>
    <t>特仑苏 纯牛奶  250ml*12盒</t>
  </si>
  <si>
    <t>特仑苏</t>
  </si>
  <si>
    <t>凉茶</t>
  </si>
  <si>
    <t>加多宝 凉茶  310ml 12罐/箱 保质期24个月</t>
  </si>
  <si>
    <t>加多宝</t>
  </si>
  <si>
    <t>5.02%</t>
  </si>
  <si>
    <t>单晶冰糖</t>
  </si>
  <si>
    <t>太古 单晶冰糖  300克</t>
  </si>
  <si>
    <t>太古</t>
  </si>
  <si>
    <t>5.03%</t>
  </si>
  <si>
    <t>饮料</t>
  </si>
  <si>
    <t>红牛 饮料  250ml*6罐/组</t>
  </si>
  <si>
    <t>红牛</t>
  </si>
  <si>
    <t>1101180447</t>
  </si>
  <si>
    <t>跨公司销售订单:1101180447;客户PO号: 网订单号:D20220820150002000291 下单客户:63411 项目名称:批发_1030_1030_1030 客户备注:项目：北京中航金网-中国航发-线下_1000_1000_1000 网订单号：20220820144558000326客户备注：</t>
  </si>
  <si>
    <t>跨公司销售订单:1101180447;第三方网订单号:D20220820150002000291 ##客户备注:项目：北京中航金网-中国航发-线下_1000_1000_1000 网订单号：20220820144558000326 客户备注：</t>
  </si>
  <si>
    <t>8101491518</t>
  </si>
  <si>
    <t>1101180448</t>
  </si>
  <si>
    <t>姚光琼</t>
  </si>
  <si>
    <t>18886055213</t>
  </si>
  <si>
    <t>云南省大理州祥云县沐滂村8组</t>
  </si>
  <si>
    <t>跨公司销售订单:1101180448;客户PO号: 网订单号:D20220821214501000477 下单客户:63378 项目名称:批发_1030_1030_1030 客户备注:项目：北京中航金网-中国航发-线下_1000_1000_1000 网订单号：20220821213313000549客户备注：</t>
  </si>
  <si>
    <t>跨公司销售订单:1101180448;第三方网订单号:D20220821214501000477 ##客户备注:项目：北京中航金网-中国航发-线下_1000_1000_1000 网订单号：20220821213313000549 客户备注：</t>
  </si>
  <si>
    <t>63378</t>
  </si>
  <si>
    <t>新金桔洗洁精</t>
  </si>
  <si>
    <t>立白 新金桔洗洁精 6920174736700 净含量:500g</t>
  </si>
  <si>
    <t>8101491519</t>
  </si>
  <si>
    <t>1101180449</t>
  </si>
  <si>
    <t>张校珲</t>
  </si>
  <si>
    <t>13087630085</t>
  </si>
  <si>
    <t>陕西省渭南市华州区民政局南邻新诚旅社</t>
  </si>
  <si>
    <t>跨公司销售订单:1101180449;客户PO号: 网订单号:D20220822001501000008 下单客户:63388 项目名称:批发_1030_1030_1030 客户备注:项目：北京中航金网-中国航发-线下_1000_1000_1000 网订单号：20220822000225000001客户备注：</t>
  </si>
  <si>
    <t>跨公司销售订单:1101180449;第三方网订单号:D20220822001501000008 ##客户备注:项目：北京中航金网-中国航发-线下_1000_1000_1000 网订单号：20220822000225000001 客户备注：</t>
  </si>
  <si>
    <t>63388</t>
  </si>
  <si>
    <t>C型点断式保鲜袋</t>
  </si>
  <si>
    <t>妙洁 C型点断式保鲜袋 MBRMC100 规格：中号(30*20cm*100只） 材质：塑料</t>
  </si>
  <si>
    <t>妙洁</t>
  </si>
  <si>
    <t>8101491520</t>
  </si>
  <si>
    <t>可乐</t>
  </si>
  <si>
    <t>可口可乐 可乐  300ml 12瓶/箱</t>
  </si>
  <si>
    <t>可口可乐</t>
  </si>
  <si>
    <t>苏打水</t>
  </si>
  <si>
    <t>农夫山泉 苏打水  410ml*6瓶/组 日向夏橘味</t>
  </si>
  <si>
    <t>农夫山泉</t>
  </si>
  <si>
    <t>4.97%</t>
  </si>
  <si>
    <t>1101180450</t>
  </si>
  <si>
    <t>跨公司销售订单:1101180450;客户PO号: 网订单号:D20220822002001000009 下单客户:63388 项目名称:批发_1030_1030_1030 客户备注:项目：北京中航金网-中国航发-线下_1000_1000_1000 网订单号：20220822000550000002客户备注：</t>
  </si>
  <si>
    <t>跨公司销售订单:1101180450;第三方网订单号:D20220822002001000009 ##客户备注:项目：北京中航金网-中国航发-线下_1000_1000_1000 网订单号：20220822000550000002 客户备注：</t>
  </si>
  <si>
    <t>8101491521</t>
  </si>
  <si>
    <t>1101180451</t>
  </si>
  <si>
    <t>龚述海</t>
  </si>
  <si>
    <t>18283842880</t>
  </si>
  <si>
    <t>四川省成都市青白江区同华大道新力翡翠湾</t>
  </si>
  <si>
    <t>跨公司销售订单:1101180451;客户PO号: 网订单号:D20220822013502000026 下单客户:63416 项目名称:批发_1030_1030_1030 客户备注:项目：北京中航金网-中国航发-线下_1000_1000_1000 网订单号：20220822012327000025客户备注：</t>
  </si>
  <si>
    <t>跨公司销售订单:1101180451;第三方网订单号:D20220822013502000026 ##客户备注:项目：北京中航金网-中国航发-线下_1000_1000_1000 网订单号：20220822012327000025 客户备注：</t>
  </si>
  <si>
    <t>63416</t>
  </si>
  <si>
    <t>8101491522</t>
  </si>
  <si>
    <t>1101180452</t>
  </si>
  <si>
    <t>跨公司销售订单:1101180452;客户PO号: 网订单号:D20220822014001000027 下单客户:63416 项目名称:批发_1030_1030_1030 客户备注:项目：北京中航金网-中国航发-线下_1000_1000_1000 网订单号：20220822012612000026客户备注：</t>
  </si>
  <si>
    <t>跨公司销售订单:1101180452;第三方网订单号:D20220822014001000027 ##客户备注:项目：北京中航金网-中国航发-线下_1000_1000_1000 网订单号：20220822012612000026 客户备注：</t>
  </si>
  <si>
    <t>8101491523</t>
  </si>
  <si>
    <t>1101180454</t>
  </si>
  <si>
    <t>马磊</t>
  </si>
  <si>
    <t>13369104149</t>
  </si>
  <si>
    <t>陕西省咸阳市乾县先和世纪城</t>
  </si>
  <si>
    <t>跨公司销售订单:1101180454;客户PO号: 网订单号:D20220822120003000161 下单客户:63392 项目名称:批发_1030_1030_1030 客户备注:项目：北京中航金网-中国航发-线下_1000_1000_1000 网订单号：20220822114505000193客户备注：</t>
  </si>
  <si>
    <t>跨公司销售订单:1101180454;第三方网订单号:D20220822120003000161 ##客户备注:项目：北京中航金网-中国航发-线下_1000_1000_1000 网订单号：20220822114505000193 客户备注：</t>
  </si>
  <si>
    <t>63392</t>
  </si>
  <si>
    <t>深层滋润护手霜</t>
  </si>
  <si>
    <t>妮维雅 深层滋润护手霜  50ml</t>
  </si>
  <si>
    <t>妮维雅</t>
  </si>
  <si>
    <t>8101491524</t>
  </si>
  <si>
    <t>1101180455</t>
  </si>
  <si>
    <t>胡志双</t>
  </si>
  <si>
    <t>13458186539</t>
  </si>
  <si>
    <t>四川省达州市开江县三元农贸市场小蔡冻货</t>
  </si>
  <si>
    <t>跨公司销售订单:1101180455;客户PO号: 网订单号:D20220822130002000208 下单客户:63420 项目名称:批发_1030_1030_1030 客户备注:项目：北京中航金网-中国航发-线下_1000_1000_1000 网订单号：20220822124737000248客户备注：</t>
  </si>
  <si>
    <t>跨公司销售订单:1101180455;第三方网订单号:D20220822130002000208 ##客户备注:项目：北京中航金网-中国航发-线下_1000_1000_1000 网订单号：20220822124737000248 客户备注：</t>
  </si>
  <si>
    <t>63420</t>
  </si>
  <si>
    <t>8101491525</t>
  </si>
  <si>
    <t>1101180456</t>
  </si>
  <si>
    <t>跨公司销售订单:1101180456;客户PO号: 网订单号:D20220822132002000222 下单客户:63420 项目名称:批发_1030_1030_1030 客户备注:项目：北京中航金网-中国航发-线下_1000_1000_1000 网订单号：20220822130616000262客户备注：</t>
  </si>
  <si>
    <t>跨公司销售订单:1101180456;第三方网订单号:D20220822132002000222 ##客户备注:项目：北京中航金网-中国航发-线下_1000_1000_1000 网订单号：20220822130616000262 客户备注：</t>
  </si>
  <si>
    <t>内衣专用皂</t>
  </si>
  <si>
    <t>汰渍 内衣专用皂  126g*2 花香型</t>
  </si>
  <si>
    <t>汰渍</t>
  </si>
  <si>
    <t>8101491526</t>
  </si>
  <si>
    <t>1101180457</t>
  </si>
  <si>
    <t>高娟妮</t>
  </si>
  <si>
    <t>13629209567</t>
  </si>
  <si>
    <t>陕西省西安市周至县二曲街道汽车站十字西北角王记粉蒸肉</t>
  </si>
  <si>
    <t>跨公司销售订单:1101180457;客户PO号: 网订单号:D20220822192002000566 下单客户:63384 项目名称:批发_1030_1030_1030 客户备注:项目：北京中航金网-中国航发-线下_1000_1000_1000 网订单号：20220822190552000589客户备注：</t>
  </si>
  <si>
    <t>跨公司销售订单:1101180457;第三方网订单号:D20220822192002000566 ##客户备注:项目：北京中航金网-中国航发-线下_1000_1000_1000 网订单号：20220822190552000589 客户备注：</t>
  </si>
  <si>
    <t>63384</t>
  </si>
  <si>
    <t>8101491527</t>
  </si>
  <si>
    <t>1101180459</t>
  </si>
  <si>
    <t>跨公司销售订单:1101180459;客户PO号: 网订单号:D20220823204501000469 下单客户:63392 项目名称:批发_1030_1030_1030 客户备注:项目：北京中航金网-中国航发-线下_1000_1000_1000 网订单号：20220823203145000574客户备注：</t>
  </si>
  <si>
    <t>跨公司销售订单:1101180459;第三方网订单号:D20220823204501000469 ##客户备注:项目：北京中航金网-中国航发-线下_1000_1000_1000 网订单号：20220823203145000574 客户备注：</t>
  </si>
  <si>
    <t>Face天然无香迷你型纸手帕</t>
  </si>
  <si>
    <t>洁柔 Face天然无香迷你型纸手帕 PM075-12/JM075-03 203*208mm 8片/包 四层 12包/条 36条/箱</t>
  </si>
  <si>
    <t>洁柔</t>
  </si>
  <si>
    <t>8101491528</t>
  </si>
  <si>
    <t>1101180460</t>
  </si>
  <si>
    <t>柴进刚</t>
  </si>
  <si>
    <t>13458812581</t>
  </si>
  <si>
    <t>四川省宜宾市珙县东村小区9栋</t>
  </si>
  <si>
    <t>跨公司销售订单:1101180460;客户PO号: 网订单号:D20220824034502000052 下单客户:63418 项目名称:批发_1030_1030_1030 客户备注:项目：北京中航金网-中国航发-线下_1000_1000_1000 网订单号：20220824032914000044客户备注：</t>
  </si>
  <si>
    <t>跨公司销售订单:1101180460;第三方网订单号:D20220824034502000052 ##客户备注:项目：北京中航金网-中国航发-线下_1000_1000_1000 网订单号：20220824032914000044 客户备注：</t>
  </si>
  <si>
    <t>63418</t>
  </si>
  <si>
    <t>深层排浊高端香皂</t>
  </si>
  <si>
    <t>舒肤佳 深层排浊高端香皂  108g 沁爽甜橙</t>
  </si>
  <si>
    <t>8101491529</t>
  </si>
  <si>
    <t>1101180911</t>
  </si>
  <si>
    <t>邓茗</t>
  </si>
  <si>
    <t>17381096759</t>
  </si>
  <si>
    <t>贵州省贵阳市白云区黎阳大道绿地新都会13栋</t>
  </si>
  <si>
    <t>跨公司销售订单:1101180911;客户PO号: 网订单号:D20220819195001000494 下单客户:63424 项目名称:批发_1030_1030_1030 客户备注:项目：北京中航金网-中国航发-线下_1000_1000_1000 网订单号：20220819193507000611客户备注：</t>
  </si>
  <si>
    <t>跨公司销售订单:1101180911;第三方网订单号:D20220819195001000494 ##客户备注:项目：北京中航金网-中国航发-线下_1000_1000_1000 网订单号：20220819193507000611 客户备注：</t>
  </si>
  <si>
    <t>63424</t>
  </si>
  <si>
    <t>8101491923</t>
  </si>
  <si>
    <t>1101180912</t>
  </si>
  <si>
    <t>跨公司销售订单:1101180912;客户PO号: 网订单号:D20220819195002000496 下单客户:63424 项目名称:批发_1030_1030_1030 客户备注:项目：北京中航金网-中国航发-线下_1000_1000_1000 网订单号：20220819193610000613客户备注：</t>
  </si>
  <si>
    <t>跨公司销售订单:1101180912;第三方网订单号:D20220819195002000496 ##客户备注:项目：北京中航金网-中国航发-线下_1000_1000_1000 网订单号：20220819193610000613 客户备注：</t>
  </si>
  <si>
    <t>8101491924</t>
  </si>
  <si>
    <t>1101180913</t>
  </si>
  <si>
    <t>贺林</t>
  </si>
  <si>
    <t>15775971580</t>
  </si>
  <si>
    <t>贵州省贵阳市白云区云环路388号恒大城22栋</t>
  </si>
  <si>
    <t>跨公司销售订单:1101180913;客户PO号: 网订单号:D20220819201002000501 下单客户:63414 项目名称:批发_1030_1030_1030 客户备注:项目：北京中航金网-中国航发-线下_1000_1000_1000 网订单号：20220819195445000618客户备注：</t>
  </si>
  <si>
    <t>跨公司销售订单:1101180913;第三方网订单号:D20220819201002000501 ##客户备注:项目：北京中航金网-中国航发-线下_1000_1000_1000 网订单号：20220819195445000618 客户备注：</t>
  </si>
  <si>
    <t>63414</t>
  </si>
  <si>
    <t>8101491925</t>
  </si>
  <si>
    <t>1101180914</t>
  </si>
  <si>
    <t>刘鑫</t>
  </si>
  <si>
    <t>15285915015</t>
  </si>
  <si>
    <t>贵州省贵阳市白云区白云区沙文科技园绿地新都会15栋</t>
  </si>
  <si>
    <t>跨公司销售订单:1101180914;客户PO号: 网订单号:D20220819201002000502 下单客户:63407 项目名称:批发_1030_1030_1030 客户备注:项目：北京中航金网-中国航发-线下_1000_1000_1000 网订单号：20220819195447000619客户备注：</t>
  </si>
  <si>
    <t>跨公司销售订单:1101180914;第三方网订单号:D20220819201002000502 ##客户备注:项目：北京中航金网-中国航发-线下_1000_1000_1000 网订单号：20220819195447000619 客户备注：</t>
  </si>
  <si>
    <t>63407</t>
  </si>
  <si>
    <t>8101491926</t>
  </si>
  <si>
    <t>1101180916</t>
  </si>
  <si>
    <t>唐先生</t>
  </si>
  <si>
    <t>15274458590</t>
  </si>
  <si>
    <t>贵州省贵阳市白云区绿地新都会16栋</t>
  </si>
  <si>
    <t>跨公司销售订单:1101180916;客户PO号: 网订单号:D20220819205002000519 下单客户:63402 项目名称:批发_1030_1030_1030 客户备注:项目：北京中航金网-中国航发-线下_1000_1000_1000 网订单号：20220819203454000637客户备注：</t>
  </si>
  <si>
    <t>跨公司销售订单:1101180916;第三方网订单号:D20220819205002000519 ##客户备注:项目：北京中航金网-中国航发-线下_1000_1000_1000 网订单号：20220819203454000637 客户备注：</t>
  </si>
  <si>
    <t>63402</t>
  </si>
  <si>
    <t>8101491927</t>
  </si>
  <si>
    <t>1101180917</t>
  </si>
  <si>
    <t>母贤</t>
  </si>
  <si>
    <t>15760615747</t>
  </si>
  <si>
    <t>贵州省贵阳市白云区绿地新都会13栋</t>
  </si>
  <si>
    <t>跨公司销售订单:1101180917;客户PO号: 网订单号:D20220819205502000523 下单客户:63429 项目名称:批发_1030_1030_1030 客户备注:项目：北京中航金网-中国航发-线下_1000_1000_1000 网订单号：20220819203933000642客户备注：</t>
  </si>
  <si>
    <t>跨公司销售订单:1101180917;第三方网订单号:D20220819205502000523 ##客户备注:项目：北京中航金网-中国航发-线下_1000_1000_1000 网订单号：20220819203933000642 客户备注：</t>
  </si>
  <si>
    <t>63429</t>
  </si>
  <si>
    <t>香皂</t>
  </si>
  <si>
    <t>花王 香皂  优雅花香 130g</t>
  </si>
  <si>
    <t>花王</t>
  </si>
  <si>
    <t>8101491928</t>
  </si>
  <si>
    <t>1101180918</t>
  </si>
  <si>
    <t>跨公司销售订单:1101180918;客户PO号: 网订单号:D20220819205502000524 下单客户:63402 项目名称:批发_1030_1030_1030 客户备注:项目：北京中航金网-中国航发-线下_1000_1000_1000 网订单号：20220819204013000643客户备注：</t>
  </si>
  <si>
    <t>跨公司销售订单:1101180918;第三方网订单号:D20220819205502000524 ##客户备注:项目：北京中航金网-中国航发-线下_1000_1000_1000 网订单号：20220819204013000643 客户备注：</t>
  </si>
  <si>
    <t>美白滋养沐浴香皂</t>
  </si>
  <si>
    <t>玉兰油 美白滋养沐浴香皂 82209805 125g</t>
  </si>
  <si>
    <t>玉兰油</t>
  </si>
  <si>
    <t>8101491929</t>
  </si>
  <si>
    <t>1101180919</t>
  </si>
  <si>
    <t>跨公司销售订单:1101180919;客户PO号: 网订单号:D20220819205502000526 下单客户:63429 项目名称:批发_1030_1030_1030 客户备注:项目：北京中航金网-中国航发-线下_1000_1000_1000 网订单号：20220819204129000645客户备注：</t>
  </si>
  <si>
    <t>跨公司销售订单:1101180919;第三方网订单号:D20220819205502000526 ##客户备注:项目：北京中航金网-中国航发-线下_1000_1000_1000 网订单号：20220819204129000645 客户备注：</t>
  </si>
  <si>
    <t>8101491930</t>
  </si>
  <si>
    <t>1101180920</t>
  </si>
  <si>
    <t>李老板</t>
  </si>
  <si>
    <t>15367321839</t>
  </si>
  <si>
    <t>贵州省贵阳市白云区绿地新都会</t>
  </si>
  <si>
    <t>跨公司销售订单:1101180920;客户PO号: 网订单号:D20220819205502000527 下单客户:63400 项目名称:批发_1030_1030_1030 客户备注:项目：北京中航金网-中国航发-线下_1000_1000_1000 网订单号：20220819204146000646客户备注：</t>
  </si>
  <si>
    <t>跨公司销售订单:1101180920;第三方网订单号:D20220819205502000527 ##客户备注:项目：北京中航金网-中国航发-线下_1000_1000_1000 网订单号：20220819204146000646 客户备注：</t>
  </si>
  <si>
    <t>63400</t>
  </si>
  <si>
    <t>8101491931</t>
  </si>
  <si>
    <t>1101180921</t>
  </si>
  <si>
    <t>跨公司销售订单:1101180921;客户PO号: 网订单号:D20220819205502000529 下单客户:63400 项目名称:批发_1030_1030_1030 客户备注:项目：北京中航金网-中国航发-线下_1000_1000_1000 网订单号：20220819204242000648客户备注：</t>
  </si>
  <si>
    <t>跨公司销售订单:1101180921;第三方网订单号:D20220819205502000529 ##客户备注:项目：北京中航金网-中国航发-线下_1000_1000_1000 网订单号：20220819204242000648 客户备注：</t>
  </si>
  <si>
    <t>8101491932</t>
  </si>
  <si>
    <t>1101180922</t>
  </si>
  <si>
    <t>段岚芳</t>
  </si>
  <si>
    <t>15274456121</t>
  </si>
  <si>
    <t>贵州省贵阳市白云区贵阳市白云区艳山红镇 福馨苑27栋9-3</t>
  </si>
  <si>
    <t>跨公司销售订单:1101180922;客户PO号: 网订单号:D20220819210003000536 下单客户:63401 项目名称:批发_1030_1030_1030 客户备注:项目：北京中航金网-中国航发-线下_1000_1000_1000 网订单号：20220819204640000655客户备注：</t>
  </si>
  <si>
    <t>跨公司销售订单:1101180922;第三方网订单号:D20220819210003000536 ##客户备注:项目：北京中航金网-中国航发-线下_1000_1000_1000 网订单号：20220819204640000655 客户备注：</t>
  </si>
  <si>
    <t>63401</t>
  </si>
  <si>
    <t>舒肤佳 香皂  芦荟呵护型125g</t>
  </si>
  <si>
    <t>8101491933</t>
  </si>
  <si>
    <t>1101180923</t>
  </si>
  <si>
    <t>跨公司销售订单:1101180923;客户PO号: 网订单号:D20220819210003000537 下单客户:63401 项目名称:批发_1030_1030_1030 客户备注:项目：北京中航金网-中国航发-线下_1000_1000_1000 网订单号：20220819204835000659客户备注：</t>
  </si>
  <si>
    <t>跨公司销售订单:1101180923;第三方网订单号:D20220819210003000537 ##客户备注:项目：北京中航金网-中国航发-线下_1000_1000_1000 网订单号：20220819204835000659 客户备注：</t>
  </si>
  <si>
    <t>8101491934</t>
  </si>
  <si>
    <t>1101180924</t>
  </si>
  <si>
    <t>张娟</t>
  </si>
  <si>
    <t>15085698409</t>
  </si>
  <si>
    <t>贵州省贵阳市白云区黎阳公寓</t>
  </si>
  <si>
    <t>跨公司销售订单:1101180924;客户PO号: 网订单号:D20220819212002000547 下单客户:63396 项目名称:批发_1030_1030_1030 客户备注:项目：北京中航金网-中国航发-线下_1000_1000_1000 网订单号：20220819210559000669客户备注：</t>
  </si>
  <si>
    <t>跨公司销售订单:1101180924;第三方网订单号:D20220819212002000547 ##客户备注:项目：北京中航金网-中国航发-线下_1000_1000_1000 网订单号：20220819210559000669 客户备注：</t>
  </si>
  <si>
    <t>63396</t>
  </si>
  <si>
    <t>8101491935</t>
  </si>
  <si>
    <t>1101180926</t>
  </si>
  <si>
    <t>跨公司销售订单:1101180926;客户PO号: 网订单号:D20220819212002000548 下单客户:63396 项目名称:批发_1030_1030_1030 客户备注:项目：北京中航金网-中国航发-线下_1000_1000_1000 网订单号：20220819210715000670客户备注：</t>
  </si>
  <si>
    <t>跨公司销售订单:1101180926;第三方网订单号:D20220819212002000548 ##客户备注:项目：北京中航金网-中国航发-线下_1000_1000_1000 网订单号：20220819210715000670 客户备注：</t>
  </si>
  <si>
    <t>8101491936</t>
  </si>
  <si>
    <t>1101180927</t>
  </si>
  <si>
    <t>贵州省贵阳市白云区绿地新都会五栋408</t>
  </si>
  <si>
    <t>跨公司销售订单:1101180927;客户PO号: 网订单号:D20220819213002000563 下单客户:63385 项目名称:批发_1030_1030_1030 客户备注:项目：北京中航金网-中国航发-线下_1000_1000_1000 网订单号：20220819211523000685客户备注：</t>
  </si>
  <si>
    <t>跨公司销售订单:1101180927;第三方网订单号:D20220819213002000563 ##客户备注:项目：北京中航金网-中国航发-线下_1000_1000_1000 网订单号：20220819211523000685 客户备注：</t>
  </si>
  <si>
    <t>8101491937</t>
  </si>
  <si>
    <t>1101180928</t>
  </si>
  <si>
    <t>肖淇峰</t>
  </si>
  <si>
    <t>18473964913</t>
  </si>
  <si>
    <t>跨公司销售订单:1101180928;客户PO号: 网订单号:D20220819213002000566 下单客户:63405 项目名称:批发_1030_1030_1030 客户备注:项目：北京中航金网-中国航发-线下_1000_1000_1000 网订单号：20220819211743000688客户备注：</t>
  </si>
  <si>
    <t>跨公司销售订单:1101180928;第三方网订单号:D20220819213002000566 ##客户备注:项目：北京中航金网-中国航发-线下_1000_1000_1000 网订单号：20220819211743000688 客户备注：</t>
  </si>
  <si>
    <t>63405</t>
  </si>
  <si>
    <t>8101491938</t>
  </si>
  <si>
    <t>1101180929</t>
  </si>
  <si>
    <t>跨公司销售订单:1101180929;客户PO号: 网订单号:D20220819213502000574 下单客户:63405 项目名称:批发_1030_1030_1030 客户备注:项目：北京中航金网-中国航发-线下_1000_1000_1000 网订单号：20220819212023000696客户备注：</t>
  </si>
  <si>
    <t>跨公司销售订单:1101180929;第三方网订单号:D20220819213502000574 ##客户备注:项目：北京中航金网-中国航发-线下_1000_1000_1000 网订单号：20220819212023000696 客户备注：</t>
  </si>
  <si>
    <t>8101491939</t>
  </si>
  <si>
    <t>1101180930</t>
  </si>
  <si>
    <t>谢超</t>
  </si>
  <si>
    <t>13684165711</t>
  </si>
  <si>
    <t>跨公司销售订单:1101180930;客户PO号: 网订单号:D20220819214001000580 下单客户:63427 项目名称:批发_1030_1030_1030 客户备注:项目：北京中航金网-中国航发-线下_1000_1000_1000 网订单号：20220819212439000703客户备注：</t>
  </si>
  <si>
    <t>跨公司销售订单:1101180930;第三方网订单号:D20220819214001000580 ##客户备注:项目：北京中航金网-中国航发-线下_1000_1000_1000 网订单号：20220819212439000703 客户备注：</t>
  </si>
  <si>
    <t>63427</t>
  </si>
  <si>
    <t>牙刷</t>
  </si>
  <si>
    <t>纳美 牙刷 6013 3支装 极简 秸秆心</t>
  </si>
  <si>
    <t>纳美</t>
  </si>
  <si>
    <t>8101491940</t>
  </si>
  <si>
    <t>1101180931</t>
  </si>
  <si>
    <t>贵州省贵阳市白云区龚北路小区43栋2单元</t>
  </si>
  <si>
    <t>跨公司销售订单:1101180931;客户PO号: 网订单号:D20220819214001000584 下单客户:63379 项目名称:批发_1030_1030_1030 客户备注:项目：北京中航金网-中国航发-线下_1000_1000_1000 网订单号：20220819212853000707客户备注：</t>
  </si>
  <si>
    <t>跨公司销售订单:1101180931;第三方网订单号:D20220819214001000584 ##客户备注:项目：北京中航金网-中国航发-线下_1000_1000_1000 网订单号：20220819212853000707 客户备注：</t>
  </si>
  <si>
    <t>8101491941</t>
  </si>
  <si>
    <t>1101180932</t>
  </si>
  <si>
    <t>田旭</t>
  </si>
  <si>
    <t>15291677261</t>
  </si>
  <si>
    <t>贵州省贵阳市白云区绿地新都会黎阳公寓</t>
  </si>
  <si>
    <t>跨公司销售订单:1101180932;客户PO号: 网订单号:D20220819214502000586 下单客户:63389 项目名称:批发_1030_1030_1030 客户备注:项目：北京中航金网-中国航发-线下_1000_1000_1000 网订单号：20220819212912000709客户备注：</t>
  </si>
  <si>
    <t>跨公司销售订单:1101180932;第三方网订单号:D20220819214502000586 ##客户备注:项目：北京中航金网-中国航发-线下_1000_1000_1000 网订单号：20220819212912000709 客户备注：</t>
  </si>
  <si>
    <t>63389</t>
  </si>
  <si>
    <t>8101491942</t>
  </si>
  <si>
    <t>1101180934</t>
  </si>
  <si>
    <t>跨公司销售订单:1101180934;客户PO号: 网订单号:D20220819214502000587 下单客户:63427 项目名称:批发_1030_1030_1030 客户备注:项目：北京中航金网-中国航发-线下_1000_1000_1000 网订单号：20220819212923000710客户备注：</t>
  </si>
  <si>
    <t>跨公司销售订单:1101180934;第三方网订单号:D20220819214502000587 ##客户备注:项目：北京中航金网-中国航发-线下_1000_1000_1000 网订单号：20220819212923000710 客户备注：</t>
  </si>
  <si>
    <t>8101491943</t>
  </si>
  <si>
    <t>1101180935</t>
  </si>
  <si>
    <t>何旭浩</t>
  </si>
  <si>
    <t>17629075649</t>
  </si>
  <si>
    <t>贵州省贵阳市白云区白云区绿地新都会12栋</t>
  </si>
  <si>
    <t>跨公司销售订单:1101180935;客户PO号: 网订单号:D20220819214502000589 下单客户:63387 项目名称:批发_1030_1030_1030 客户备注:项目：北京中航金网-中国航发-线下_1000_1000_1000 网订单号：20220819213024000713客户备注：</t>
  </si>
  <si>
    <t>跨公司销售订单:1101180935;第三方网订单号:D20220819214502000589 ##客户备注:项目：北京中航金网-中国航发-线下_1000_1000_1000 网订单号：20220819213024000713 客户备注：</t>
  </si>
  <si>
    <t>超效加酶无磷洗衣粉</t>
  </si>
  <si>
    <t>雕牌 超效加酶无磷洗衣粉   508g 清香茉莉</t>
  </si>
  <si>
    <t>雕牌</t>
  </si>
  <si>
    <t>8101491944</t>
  </si>
  <si>
    <t>1101180936</t>
  </si>
  <si>
    <t>钟卓良</t>
  </si>
  <si>
    <t>17808250863</t>
  </si>
  <si>
    <t>贵州省贵阳市白云区云环路888号恒大城22栋</t>
  </si>
  <si>
    <t>跨公司销售订单:1101180936;客户PO号: 网订单号:D20220819222002000613 下单客户:63415 项目名称:批发_1030_1030_1030 客户备注:项目：北京中航金网-中国航发-线下_1000_1000_1000 网订单号：20220819220853000747客户备注：</t>
  </si>
  <si>
    <t>跨公司销售订单:1101180936;第三方网订单号:D20220819222002000613 ##客户备注:项目：北京中航金网-中国航发-线下_1000_1000_1000 网订单号：20220819220853000747 客户备注：</t>
  </si>
  <si>
    <t>63415</t>
  </si>
  <si>
    <t>卫生湿巾</t>
  </si>
  <si>
    <t>洁柔C&amp;amp;amp;amp;amp;S 卫生湿巾 JS215-01 非独立装 20片/袋</t>
  </si>
  <si>
    <t>洁柔C&amp;S</t>
  </si>
  <si>
    <t>8101491945</t>
  </si>
  <si>
    <t>1101180938</t>
  </si>
  <si>
    <t>跨公司销售订单:1101180938;客户PO号: 网订单号:D20220819222501000615 下单客户:63415 项目名称:批发_1030_1030_1030 客户备注:项目：北京中航金网-中国航发-线下_1000_1000_1000 网订单号：20220819221303000749客户备注：</t>
  </si>
  <si>
    <t>跨公司销售订单:1101180938;第三方网订单号:D20220819222501000615 ##客户备注:项目：北京中航金网-中国航发-线下_1000_1000_1000 网订单号：20220819221303000749 客户备注：</t>
  </si>
  <si>
    <t>8101491946</t>
  </si>
  <si>
    <t>1101180939</t>
  </si>
  <si>
    <t>孟千邡</t>
  </si>
  <si>
    <t>15217336783</t>
  </si>
  <si>
    <t>跨公司销售订单:1101180939;客户PO号: 网订单号:D20220819225002000639 下单客户:63382 项目名称:批发_1030_1030_1030 客户备注:项目：北京中航金网-中国航发-线下_1000_1000_1000 网订单号：20220819223614000774客户备注：</t>
  </si>
  <si>
    <t>跨公司销售订单:1101180939;第三方网订单号:D20220819225002000639 ##客户备注:项目：北京中航金网-中国航发-线下_1000_1000_1000 网订单号：20220819223614000774 客户备注：</t>
  </si>
  <si>
    <t>63382</t>
  </si>
  <si>
    <t>8101491947</t>
  </si>
  <si>
    <t>1101180940</t>
  </si>
  <si>
    <t>跨公司销售订单:1101180940;客户PO号: 网订单号:D20220819230003000646 下单客户:63382 项目名称:批发_1030_1030_1030 客户备注:项目：北京中航金网-中国航发-线下_1000_1000_1000 网订单号：20220819224833000782客户备注：</t>
  </si>
  <si>
    <t>跨公司销售订单:1101180940;第三方网订单号:D20220819230003000646 ##客户备注:项目：北京中航金网-中国航发-线下_1000_1000_1000 网订单号：20220819224833000782 客户备注：</t>
  </si>
  <si>
    <t>8101491948</t>
  </si>
  <si>
    <t>1101180941</t>
  </si>
  <si>
    <t>蒲帅</t>
  </si>
  <si>
    <t>13890747406</t>
  </si>
  <si>
    <t>跨公司销售订单:1101180941;客户PO号: 网订单号:D20220820004502000019 下单客户:63426 项目名称:批发_1030_1030_1030 客户备注:项目：北京中航金网-中国航发-线下_1000_1000_1000 网订单号：20220820003133000008客户备注：</t>
  </si>
  <si>
    <t>跨公司销售订单:1101180941;第三方网订单号:D20220820004502000019 ##客户备注:项目：北京中航金网-中国航发-线下_1000_1000_1000 网订单号：20220820003133000008 客户备注：</t>
  </si>
  <si>
    <t>63426</t>
  </si>
  <si>
    <t>8101491949</t>
  </si>
  <si>
    <t>1101180942</t>
  </si>
  <si>
    <t>跨公司销售订单:1101180942;客户PO号: 网订单号:D20220820004502000020 下单客户:63426 项目名称:批发_1030_1030_1030 客户备注:项目：北京中航金网-中国航发-线下_1000_1000_1000 网订单号：20220820003324000010客户备注：</t>
  </si>
  <si>
    <t>跨公司销售订单:1101180942;第三方网订单号:D20220820004502000020 ##客户备注:项目：北京中航金网-中国航发-线下_1000_1000_1000 网订单号：20220820003324000010 客户备注：</t>
  </si>
  <si>
    <t>8101491950</t>
  </si>
  <si>
    <t>1101180943</t>
  </si>
  <si>
    <t>田鹏</t>
  </si>
  <si>
    <t>13572749074</t>
  </si>
  <si>
    <t>贵州省贵阳市白云区绿地新都会16栋2212</t>
  </si>
  <si>
    <t>跨公司销售订单:1101180943;客户PO号: 网订单号:D20220820005501000022 下单客户:63395 项目名称:批发_1030_1030_1030 客户备注:项目：北京中航金网-中国航发-线下_1000_1000_1000 网订单号：20220820004346000012客户备注：</t>
  </si>
  <si>
    <t>跨公司销售订单:1101180943;第三方网订单号:D20220820005501000022 ##客户备注:项目：北京中航金网-中国航发-线下_1000_1000_1000 网订单号：20220820004346000012 客户备注：</t>
  </si>
  <si>
    <t>63395</t>
  </si>
  <si>
    <t>8101491951</t>
  </si>
  <si>
    <t>1101180944</t>
  </si>
  <si>
    <t>跨公司销售订单:1101180944;客户PO号: 网订单号:D20220820010002000026 下单客户:63395 项目名称:批发_1030_1030_1030 客户备注:项目：北京中航金网-中国航发-线下_1000_1000_1000 网订单号：20220820004612000016客户备注：</t>
  </si>
  <si>
    <t>跨公司销售订单:1101180944;第三方网订单号:D20220820010002000026 ##客户备注:项目：北京中航金网-中国航发-线下_1000_1000_1000 网订单号：20220820004612000016 客户备注：</t>
  </si>
  <si>
    <t>8101491952</t>
  </si>
  <si>
    <t>1101180945</t>
  </si>
  <si>
    <t>严飞</t>
  </si>
  <si>
    <t>13060469379</t>
  </si>
  <si>
    <t>贵州省贵阳市白云区绿地新都会  亚朵酒店后面</t>
  </si>
  <si>
    <t>跨公司销售订单:1101180945;客户PO号: 网订单号:D20220820105002000140 下单客户:63390 项目名称:批发_1030_1030_1030 客户备注:项目：北京中航金网-中国航发-线下_1000_1000_1000 网订单号：20220820103721000146客户备注：</t>
  </si>
  <si>
    <t>跨公司销售订单:1101180945;第三方网订单号:D20220820105002000140 ##客户备注:项目：北京中航金网-中国航发-线下_1000_1000_1000 网订单号：20220820103721000146 客户备注：</t>
  </si>
  <si>
    <t>63390</t>
  </si>
  <si>
    <t>8101491953</t>
  </si>
  <si>
    <t>1101180946</t>
  </si>
  <si>
    <t>跨公司销售订单:1101180946;客户PO号: 网订单号:D20220820105002000141 下单客户:63390 项目名称:批发_1030_1030_1030 客户备注:项目：北京中航金网-中国航发-线下_1000_1000_1000 网订单号：20220820103823000147客户备注：</t>
  </si>
  <si>
    <t>跨公司销售订单:1101180946;第三方网订单号:D20220820105002000141 ##客户备注:项目：北京中航金网-中国航发-线下_1000_1000_1000 网订单号：20220820103823000147 客户备注：</t>
  </si>
  <si>
    <t>8101491954</t>
  </si>
  <si>
    <t>1101180947</t>
  </si>
  <si>
    <t>李厚荣</t>
  </si>
  <si>
    <t>15912543836</t>
  </si>
  <si>
    <t>贵州省贵阳市观山湖区龙兴苑1栋2单元603</t>
  </si>
  <si>
    <t>跨公司销售订单:1101180947;客户PO号: 网订单号:D20220820110502000155 下单客户:63406 项目名称:批发_1030_1030_1030 客户备注:项目：北京中航金网-中国航发-线下_1000_1000_1000 网订单号：20220820105032000162客户备注：</t>
  </si>
  <si>
    <t>跨公司销售订单:1101180947;第三方网订单号:D20220820110502000155 ##客户备注:项目：北京中航金网-中国航发-线下_1000_1000_1000 网订单号：20220820105032000162 客户备注：</t>
  </si>
  <si>
    <t>63406</t>
  </si>
  <si>
    <t>含砂彩色百洁布</t>
  </si>
  <si>
    <t>美丽雅 含砂彩色百洁布 HC059450 6片装</t>
  </si>
  <si>
    <t>美丽雅</t>
  </si>
  <si>
    <t>8101491955</t>
  </si>
  <si>
    <t>1101180948</t>
  </si>
  <si>
    <t>跨公司销售订单:1101180948;客户PO号: 网订单号:D20220820111001000157 下单客户:63406 项目名称:批发_1030_1030_1030 客户备注:项目：北京中航金网-中国航发-线下_1000_1000_1000 网订单号：20220820105514000165客户备注：</t>
  </si>
  <si>
    <t>跨公司销售订单:1101180948;第三方网订单号:D20220820111001000157 ##客户备注:项目：北京中航金网-中国航发-线下_1000_1000_1000 网订单号：20220820105514000165 客户备注：</t>
  </si>
  <si>
    <t>8101491956</t>
  </si>
  <si>
    <t>1101180949</t>
  </si>
  <si>
    <t>汪相杰</t>
  </si>
  <si>
    <t>18782083982</t>
  </si>
  <si>
    <t>贵州省贵阳市白云区龚北路 刚玉街17栋</t>
  </si>
  <si>
    <t>跨公司销售订单:1101180949;客户PO号: 网订单号:D20220820120502000210 下单客户:63417 项目名称:批发_1030_1030_1030 客户备注:项目：北京中航金网-中国航发-线下_1000_1000_1000 网订单号：20220820115256000222客户备注：</t>
  </si>
  <si>
    <t>跨公司销售订单:1101180949;第三方网订单号:D20220820120502000210 ##客户备注:项目：北京中航金网-中国航发-线下_1000_1000_1000 网订单号：20220820115256000222 客户备注：</t>
  </si>
  <si>
    <t>63417</t>
  </si>
  <si>
    <t>8101491957</t>
  </si>
  <si>
    <t>1101180950</t>
  </si>
  <si>
    <t>跨公司销售订单:1101180950;客户PO号: 网订单号:D20220820120502000212 下单客户:63417 项目名称:批发_1030_1030_1030 客户备注:项目：北京中航金网-中国航发-线下_1000_1000_1000 网订单号：20220820115352000226客户备注：</t>
  </si>
  <si>
    <t>跨公司销售订单:1101180950;第三方网订单号:D20220820120502000212 ##客户备注:项目：北京中航金网-中国航发-线下_1000_1000_1000 网订单号：20220820115352000226 客户备注：</t>
  </si>
  <si>
    <t>8101491958</t>
  </si>
  <si>
    <t>1101180951</t>
  </si>
  <si>
    <t>易金海</t>
  </si>
  <si>
    <t>18586884438</t>
  </si>
  <si>
    <t>贵州省贵阳市白云区绿地新都会15栋</t>
  </si>
  <si>
    <t>跨公司销售订单:1101180951;客户PO号: 网订单号:D20220820134501000258 下单客户:63398 项目名称:批发_1030_1030_1030 客户备注:项目：北京中航金网-中国航发-线下_1000_1000_1000 网订单号：20220820133048000279客户备注：</t>
  </si>
  <si>
    <t>跨公司销售订单:1101180951;第三方网订单号:D20220820134501000258 ##客户备注:项目：北京中航金网-中国航发-线下_1000_1000_1000 网订单号：20220820133048000279 客户备注：</t>
  </si>
  <si>
    <t>63398</t>
  </si>
  <si>
    <t>8101491959</t>
  </si>
  <si>
    <t>1101180953</t>
  </si>
  <si>
    <t>跨公司销售订单:1101180953;客户PO号: 网订单号:D20220820134501000259 下单客户:63398 项目名称:批发_1030_1030_1030 客户备注:项目：北京中航金网-中国航发-线下_1000_1000_1000 网订单号：20220820133130000281客户备注：</t>
  </si>
  <si>
    <t>跨公司销售订单:1101180953;第三方网订单号:D20220820134501000259 ##客户备注:项目：北京中航金网-中国航发-线下_1000_1000_1000 网订单号：20220820133130000281 客户备注：</t>
  </si>
  <si>
    <t>8101491961</t>
  </si>
  <si>
    <t>1101180954</t>
  </si>
  <si>
    <t>刘东洋</t>
  </si>
  <si>
    <t>15174488491</t>
  </si>
  <si>
    <t>贵州省贵阳市白云区云城苑北区</t>
  </si>
  <si>
    <t>跨公司销售订单:1101180954;客户PO号: 网订单号:D20220820155002000322 下单客户:63403 项目名称:批发_1030_1030_1030 客户备注:项目：北京中航金网-中国航发-线下_1000_1000_1000 网订单号：20220820153506000357客户备注：</t>
  </si>
  <si>
    <t>跨公司销售订单:1101180954;第三方网订单号:D20220820155002000322 ##客户备注:项目：北京中航金网-中国航发-线下_1000_1000_1000 网订单号：20220820153506000357 客户备注：</t>
  </si>
  <si>
    <t>63403</t>
  </si>
  <si>
    <t>8101491962</t>
  </si>
  <si>
    <t>1101180955</t>
  </si>
  <si>
    <t>跨公司销售订单:1101180955;客户PO号: 网订单号:D20220820155002000324 下单客户:63403 项目名称:批发_1030_1030_1030 客户备注:项目：北京中航金网-中国航发-线下_1000_1000_1000 网订单号：20220820153648000360客户备注：</t>
  </si>
  <si>
    <t>跨公司销售订单:1101180955;第三方网订单号:D20220820155002000324 ##客户备注:项目：北京中航金网-中国航发-线下_1000_1000_1000 网订单号：20220820153648000360 客户备注：</t>
  </si>
  <si>
    <t>8101491963</t>
  </si>
  <si>
    <t>1101180956</t>
  </si>
  <si>
    <t>吴少航</t>
  </si>
  <si>
    <t>15328394959</t>
  </si>
  <si>
    <t>贵州省贵阳市白云区绿地新都会13栋2724</t>
  </si>
  <si>
    <t>跨公司销售订单:1101180956;客户PO号: 网订单号:D20220821052002000037 下单客户:63428 项目名称:批发_1030_1030_1030 客户备注:项目：北京中航金网-中国航发-线下_1000_1000_1000 网订单号：20220821050418000033客户备注：</t>
  </si>
  <si>
    <t>跨公司销售订单:1101180956;第三方网订单号:D20220821052002000037 ##客户备注:项目：北京中航金网-中国航发-线下_1000_1000_1000 网订单号：20220821050418000033 客户备注：</t>
  </si>
  <si>
    <t>63428</t>
  </si>
  <si>
    <t>8101491964</t>
  </si>
  <si>
    <t>1101180957</t>
  </si>
  <si>
    <t>跨公司销售订单:1101180957;客户PO号: 网订单号:D20220821052502000038 下单客户:63428 项目名称:批发_1030_1030_1030 客户备注:项目：北京中航金网-中国航发-线下_1000_1000_1000 网订单号：20220821050958000034客户备注：</t>
  </si>
  <si>
    <t>跨公司销售订单:1101180957;第三方网订单号:D20220821052502000038 ##客户备注:项目：北京中航金网-中国航发-线下_1000_1000_1000 网订单号：20220821050958000034 客户备注：</t>
  </si>
  <si>
    <t>84家居消毒液</t>
  </si>
  <si>
    <t>威王 84家居消毒液   1000g 无香</t>
  </si>
  <si>
    <t>威王</t>
  </si>
  <si>
    <t>8101491965</t>
  </si>
  <si>
    <t>1101180958</t>
  </si>
  <si>
    <t>罗虎沉</t>
  </si>
  <si>
    <t>18291614266</t>
  </si>
  <si>
    <t>贵州省贵阳市白云区黎阳大道15栋</t>
  </si>
  <si>
    <t>跨公司销售订单:1101180958;客户PO号: 网订单号:D20220821124501000164 下单客户:63393 项目名称:批发_1030_1030_1030 客户备注:项目：北京中航金网-中国航发-线下_1000_1000_1000 网订单号：20220821123342000170客户备注：</t>
  </si>
  <si>
    <t>跨公司销售订单:1101180958;第三方网订单号:D20220821124501000164 ##客户备注:项目：北京中航金网-中国航发-线下_1000_1000_1000 网订单号：20220821123342000170 客户备注：</t>
  </si>
  <si>
    <t>63393</t>
  </si>
  <si>
    <t>8101491966</t>
  </si>
  <si>
    <t>1101180959</t>
  </si>
  <si>
    <t>崔琦</t>
  </si>
  <si>
    <t>15309388456</t>
  </si>
  <si>
    <t>贵州省贵阳市白云区黎阳大道绿地新都会黎阳公寓</t>
  </si>
  <si>
    <t>跨公司销售订单:1101180959;客户PO号: 网订单号:D20220821131502000180 下单客户:63391 项目名称:批发_1030_1030_1030 客户备注:项目：北京中航金网-中国航发-线下_1000_1000_1000 网订单号：20220821125934000192客户备注：</t>
  </si>
  <si>
    <t>跨公司销售订单:1101180959;第三方网订单号:D20220821131502000180 ##客户备注:项目：北京中航金网-中国航发-线下_1000_1000_1000 网订单号：20220821125934000192 客户备注：</t>
  </si>
  <si>
    <t>63391</t>
  </si>
  <si>
    <t>8101491967</t>
  </si>
  <si>
    <t>1101180960</t>
  </si>
  <si>
    <t>跨公司销售订单:1101180960;客户PO号: 网订单号:D20220821131502000182 下单客户:63391 项目名称:批发_1030_1030_1030 客户备注:项目：北京中航金网-中国航发-线下_1000_1000_1000 网订单号：20220821130047000194客户备注：</t>
  </si>
  <si>
    <t>跨公司销售订单:1101180960;第三方网订单号:D20220821131502000182 ##客户备注:项目：北京中航金网-中国航发-线下_1000_1000_1000 网订单号：20220821130047000194 客户备注：</t>
  </si>
  <si>
    <t>8101491968</t>
  </si>
  <si>
    <t>1101180961</t>
  </si>
  <si>
    <t>张正伟</t>
  </si>
  <si>
    <t>15274435123</t>
  </si>
  <si>
    <t>跨公司销售订单:1101180961;客户PO号: 网订单号:D20220821135002000201 下单客户:63397 项目名称:批发_1030_1030_1030 客户备注:项目：北京中航金网-中国航发-线下_1000_1000_1000 网订单号：20220821133721000220客户备注：</t>
  </si>
  <si>
    <t>跨公司销售订单:1101180961;第三方网订单号:D20220821135002000201 ##客户备注:项目：北京中航金网-中国航发-线下_1000_1000_1000 网订单号：20220821133721000220 客户备注：</t>
  </si>
  <si>
    <t>63397</t>
  </si>
  <si>
    <t>8101491969</t>
  </si>
  <si>
    <t>1101180962</t>
  </si>
  <si>
    <t>陈焱</t>
  </si>
  <si>
    <t>18224066274</t>
  </si>
  <si>
    <t>贵州省贵阳市白云区绿地新都会5栋430</t>
  </si>
  <si>
    <t>跨公司销售订单:1101180962;客户PO号: 网订单号:D20220821171501000321 下单客户:63412 项目名称:批发_1030_1030_1030 客户备注:项目：北京中航金网-中国航发-线下_1000_1000_1000 网订单号：20220821165957000355客户备注：</t>
  </si>
  <si>
    <t>跨公司销售订单:1101180962;第三方网订单号:D20220821171501000321 ##客户备注:项目：北京中航金网-中国航发-线下_1000_1000_1000 网订单号：20220821165957000355 客户备注：</t>
  </si>
  <si>
    <t>63412</t>
  </si>
  <si>
    <t>8101491970</t>
  </si>
  <si>
    <t>1101180963</t>
  </si>
  <si>
    <t>王圣坤</t>
  </si>
  <si>
    <t>18700392110</t>
  </si>
  <si>
    <t>贵州省贵阳市白云区恒大城一栋1203</t>
  </si>
  <si>
    <t>跨公司销售订单:1101180963;客户PO号: 网订单号:D20220822115502000158 下单客户:63394 项目名称:批发_1030_1030_1030 客户备注:项目：北京中航金网-中国航发-线下_1000_1000_1000 网订单号：20220822114312000190客户备注：</t>
  </si>
  <si>
    <t>跨公司销售订单:1101180963;第三方网订单号:D20220822115502000158 ##客户备注:项目：北京中航金网-中国航发-线下_1000_1000_1000 网订单号：20220822114312000190 客户备注：</t>
  </si>
  <si>
    <t>63394</t>
  </si>
  <si>
    <t>8101491971</t>
  </si>
  <si>
    <t>1101180964</t>
  </si>
  <si>
    <t>跨公司销售订单:1101180964;客户PO号: 网订单号:D20220822120003000162 下单客户:63394 项目名称:批发_1030_1030_1030 客户备注:项目：北京中航金网-中国航发-线下_1000_1000_1000 网订单号：20220822114529000194客户备注：</t>
  </si>
  <si>
    <t>跨公司销售订单:1101180964;第三方网订单号:D20220822120003000162 ##客户备注:项目：北京中航金网-中国航发-线下_1000_1000_1000 网订单号：20220822114529000194 客户备注：</t>
  </si>
  <si>
    <t>8101491972</t>
  </si>
  <si>
    <t>1101180965</t>
  </si>
  <si>
    <t>徐璐璐</t>
  </si>
  <si>
    <t>18722729619</t>
  </si>
  <si>
    <t>贵州省贵阳市白云区黎阳大道绿地新都会二期公寓15栋</t>
  </si>
  <si>
    <t>跨公司销售订单:1101180965;客户PO号: 网订单号:D20220822121501000177 下单客户:63377 项目名称:批发_1030_1030_1030 客户备注:项目：北京中航金网-中国航发-线下_1000_1000_1000 网订单号：20220822115914000213客户备注：</t>
  </si>
  <si>
    <t>跨公司销售订单:1101180965;第三方网订单号:D20220822121501000177 ##客户备注:项目：北京中航金网-中国航发-线下_1000_1000_1000 网订单号：20220822115914000213 客户备注：</t>
  </si>
  <si>
    <t>63377</t>
  </si>
  <si>
    <t>8101491973</t>
  </si>
  <si>
    <t>1101180966</t>
  </si>
  <si>
    <t>跨公司销售订单:1101180966;客户PO号: 网订单号:D20220822121501000178 下单客户:63377 项目名称:批发_1030_1030_1030 客户备注:项目：北京中航金网-中国航发-线下_1000_1000_1000 网订单号：20220822120023000214客户备注：</t>
  </si>
  <si>
    <t>跨公司销售订单:1101180966;第三方网订单号:D20220822121501000178 ##客户备注:项目：北京中航金网-中国航发-线下_1000_1000_1000 网订单号：20220822120023000214 客户备注：</t>
  </si>
  <si>
    <t>8101491974</t>
  </si>
  <si>
    <t>1101180967</t>
  </si>
  <si>
    <t>周腾飞</t>
  </si>
  <si>
    <t>13639065574</t>
  </si>
  <si>
    <t>跨公司销售订单:1101180967;客户PO号: 网订单号:D20220822125002000199 下单客户:63399 项目名称:批发_1030_1030_1030 客户备注:项目：北京中航金网-中国航发-线下_1000_1000_1000 网订单号：20220822123544000238客户备注：</t>
  </si>
  <si>
    <t>跨公司销售订单:1101180967;第三方网订单号:D20220822125002000199 ##客户备注:项目：北京中航金网-中国航发-线下_1000_1000_1000 网订单号：20220822123544000238 客户备注：</t>
  </si>
  <si>
    <t>63399</t>
  </si>
  <si>
    <t>8101491975</t>
  </si>
  <si>
    <t>1101180968</t>
  </si>
  <si>
    <t>跨公司销售订单:1101180968;客户PO号: 网订单号:D20220822125502000202 下单客户:63399 项目名称:批发_1030_1030_1030 客户备注:项目：北京中航金网-中国航发-线下_1000_1000_1000 网订单号：20220822124108000241客户备注：</t>
  </si>
  <si>
    <t>跨公司销售订单:1101180968;第三方网订单号:D20220822125502000202 ##客户备注:项目：北京中航金网-中国航发-线下_1000_1000_1000 网订单号：20220822124108000241 客户备注：</t>
  </si>
  <si>
    <t>8101491976</t>
  </si>
  <si>
    <t>1101180969</t>
  </si>
  <si>
    <t>王浩楠</t>
  </si>
  <si>
    <t>15095373007</t>
  </si>
  <si>
    <t>贵州省贵阳市白云区绿地新都会12栋菜鸟驿站</t>
  </si>
  <si>
    <t>跨公司销售订单:1101180969;客户PO号: 网订单号:D20220822131502000219 下单客户:63409 项目名称:批发_1030_1030_1030 客户备注:项目：北京中航金网-中国航发-线下_1000_1000_1000 网订单号：20220822130003000259客户备注：</t>
  </si>
  <si>
    <t>跨公司销售订单:1101180969;第三方网订单号:D20220822131502000219 ##客户备注:项目：北京中航金网-中国航发-线下_1000_1000_1000 网订单号：20220822130003000259 客户备注：</t>
  </si>
  <si>
    <t>63409</t>
  </si>
  <si>
    <t>黑人 牙刷  2支装 炭旋双洁</t>
  </si>
  <si>
    <t>黑人</t>
  </si>
  <si>
    <t>8101491977</t>
  </si>
  <si>
    <t>1101180970</t>
  </si>
  <si>
    <t>跨公司销售订单:1101180970;客户PO号: 网订单号:D20220822131502000220 下单客户:63409 项目名称:批发_1030_1030_1030 客户备注:项目：北京中航金网-中国航发-线下_1000_1000_1000 网订单号：20220822130238000260客户备注：</t>
  </si>
  <si>
    <t>跨公司销售订单:1101180970;第三方网订单号:D20220822131502000220 ##客户备注:项目：北京中航金网-中国航发-线下_1000_1000_1000 网订单号：20220822130238000260 客户备注：</t>
  </si>
  <si>
    <t>8101491978</t>
  </si>
  <si>
    <t>1101180971</t>
  </si>
  <si>
    <t>李海年</t>
  </si>
  <si>
    <t>17509722195</t>
  </si>
  <si>
    <t>贵州省贵阳市白云区绿地新都会五栋</t>
  </si>
  <si>
    <t>跨公司销售订单:1101180971;客户PO号: 网订单号:D20220822163001000469 下单客户:63386 项目名称:批发_1030_1030_1030 客户备注:项目：北京中航金网-中国航发-线下_1000_1000_1000 网订单号：20220822161517000471客户备注：</t>
  </si>
  <si>
    <t>跨公司销售订单:1101180971;第三方网订单号:D20220822163001000469 ##客户备注:项目：北京中航金网-中国航发-线下_1000_1000_1000 网订单号：20220822161517000471 客户备注：</t>
  </si>
  <si>
    <t>63386</t>
  </si>
  <si>
    <t>8101491979</t>
  </si>
  <si>
    <t>1101180972</t>
  </si>
  <si>
    <t>王澳归</t>
  </si>
  <si>
    <t>13088950292</t>
  </si>
  <si>
    <t>贵州省贵阳市白云区贵州省贵阳市白云区沙文镇绿地新都会五栋403</t>
  </si>
  <si>
    <t>跨公司销售订单:1101180972;客户PO号: 网订单号:D20220822193001000568 下单客户:63384 项目名称:批发_1030_1030_1030 客户备注:项目：北京中航金网-中国航发-线下_1000_1000_1000 网订单号：20220822191753000594客户备注：</t>
  </si>
  <si>
    <t>跨公司销售订单:1101180972;第三方网订单号:D20220822193001000568 ##客户备注:项目：北京中航金网-中国航发-线下_1000_1000_1000 网订单号：20220822191753000594 客户备注：</t>
  </si>
  <si>
    <t>8101491980</t>
  </si>
  <si>
    <t>1101180973</t>
  </si>
  <si>
    <t>李国乡</t>
  </si>
  <si>
    <t>17684226332</t>
  </si>
  <si>
    <t>跨公司销售订单:1101180973;客户PO号: 网订单号:D20220822205001000599 下单客户:63423 项目名称:批发_1030_1030_1030 客户备注:项目：北京中航金网-中国航发-线下_1000_1000_1000 网订单号：20220822203440000629客户备注：</t>
  </si>
  <si>
    <t>跨公司销售订单:1101180973;第三方网订单号:D20220822205001000599 ##客户备注:项目：北京中航金网-中国航发-线下_1000_1000_1000 网订单号：20220822203440000629 客户备注：</t>
  </si>
  <si>
    <t>63423</t>
  </si>
  <si>
    <t>8101491981</t>
  </si>
  <si>
    <t>1101180974</t>
  </si>
  <si>
    <t>跨公司销售订单:1101180974;客户PO号: 网订单号:D20220822205001000600 下单客户:63423 项目名称:批发_1030_1030_1030 客户备注:项目：北京中航金网-中国航发-线下_1000_1000_1000 网订单号：20220822203532000630客户备注：</t>
  </si>
  <si>
    <t>跨公司销售订单:1101180974;第三方网订单号:D20220822205001000600 ##客户备注:项目：北京中航金网-中国航发-线下_1000_1000_1000 网订单号：20220822203532000630 客户备注：</t>
  </si>
  <si>
    <t>8101491982</t>
  </si>
  <si>
    <t>1101180975</t>
  </si>
  <si>
    <t>胡磊</t>
  </si>
  <si>
    <t>17345266011</t>
  </si>
  <si>
    <t>贵州省贵阳市白云区黎阳大道贵阳鑫蒙泰商务酒店</t>
  </si>
  <si>
    <t>跨公司销售订单:1101180975;客户PO号: 网订单号:D20220822205001000601 下单客户:63422 项目名称:批发_1030_1030_1030 客户备注:项目：北京中航金网-中国航发-线下_1000_1000_1000 网订单号：20220822203557000631客户备注：</t>
  </si>
  <si>
    <t>跨公司销售订单:1101180975;第三方网订单号:D20220822205001000601 ##客户备注:项目：北京中航金网-中国航发-线下_1000_1000_1000 网订单号：20220822203557000631 客户备注：</t>
  </si>
  <si>
    <t>63422</t>
  </si>
  <si>
    <t>8101491983</t>
  </si>
  <si>
    <t>1101180976</t>
  </si>
  <si>
    <t>跨公司销售订单:1101180976;客户PO号: 网订单号:D20220822205001000607 下单客户:63422 项目名称:批发_1030_1030_1030 客户备注:项目：北京中航金网-中国航发-线下_1000_1000_1000 网订单号：20220822203800000638客户备注：</t>
  </si>
  <si>
    <t>跨公司销售订单:1101180976;第三方网订单号:D20220822205001000607 ##客户备注:项目：北京中航金网-中国航发-线下_1000_1000_1000 网订单号：20220822203800000638 客户备注：</t>
  </si>
  <si>
    <t>8101491984</t>
  </si>
  <si>
    <t>1101180977</t>
  </si>
  <si>
    <t>立克晓东</t>
  </si>
  <si>
    <t>18383390787</t>
  </si>
  <si>
    <t>贵州省贵阳市白云区黎阳大道绿地新都会13栋2910</t>
  </si>
  <si>
    <t>跨公司销售订单:1101180977;客户PO号: 网订单号:D20220823233001000573 下单客户:63430 项目名称:批发_1030_1030_1030 客户备注:项目：北京中航金网-中国航发-线下_1000_1000_1000 网订单号：20220823231516000695客户备注：</t>
  </si>
  <si>
    <t>跨公司销售订单:1101180977;第三方网订单号:D20220823233001000573 ##客户备注:项目：北京中航金网-中国航发-线下_1000_1000_1000 网订单号：20220823231516000695 客户备注：</t>
  </si>
  <si>
    <t>63430</t>
  </si>
  <si>
    <t>8101491985</t>
  </si>
  <si>
    <t>1101180978</t>
  </si>
  <si>
    <t>付加壹</t>
  </si>
  <si>
    <t>13198658876</t>
  </si>
  <si>
    <t>跨公司销售订单:1101180978;客户PO号: 网订单号:D20220823233502000577 下单客户:63431 项目名称:批发_1030_1030_1030 客户备注:项目：北京中航金网-中国航发-线下_1000_1000_1000 网订单号：20220823232101000699客户备注：</t>
  </si>
  <si>
    <t>跨公司销售订单:1101180978;第三方网订单号:D20220823233502000577 ##客户备注:项目：北京中航金网-中国航发-线下_1000_1000_1000 网订单号：20220823232101000699 客户备注：</t>
  </si>
  <si>
    <t>63431</t>
  </si>
  <si>
    <t>8101491986</t>
  </si>
  <si>
    <t>1101180979</t>
  </si>
  <si>
    <t>蔡丰同</t>
  </si>
  <si>
    <t>17647614438</t>
  </si>
  <si>
    <t>贵州省贵阳市白云区绿地新都会11栋菜鸟驿站</t>
  </si>
  <si>
    <t>跨公司销售订单:1101180979;客户PO号: 网订单号:D20220824110501000187 下单客户:63421 项目名称:批发_1030_1030_1030 客户备注:项目：北京中航金网-中国航发-线下_1000_1000_1000 网订单号：20220824105229000225客户备注：</t>
  </si>
  <si>
    <t>跨公司销售订单:1101180979;第三方网订单号:D20220824110501000187 ##客户备注:项目：北京中航金网-中国航发-线下_1000_1000_1000 网订单号：20220824105229000225 客户备注：</t>
  </si>
  <si>
    <t>63421</t>
  </si>
  <si>
    <t>8101491987</t>
  </si>
  <si>
    <t>1101180980</t>
  </si>
  <si>
    <t>孙建丽</t>
  </si>
  <si>
    <t>15284897344</t>
  </si>
  <si>
    <t>跨公司销售订单:1101180980;客户PO号: 网订单号:D20220825083501000068 下单客户:63425 项目名称:批发_1030_1030_1030 客户备注:项目：北京中航金网-中国航发-线下_1000_1000_1000 网订单号：20220825082022000082客户备注：</t>
  </si>
  <si>
    <t>跨公司销售订单:1101180980;第三方网订单号:D20220825083501000068 ##客户备注:项目：北京中航金网-中国航发-线下_1000_1000_1000 网订单号：20220825082022000082 客户备注：</t>
  </si>
  <si>
    <t>63425</t>
  </si>
  <si>
    <t>8101491988</t>
  </si>
  <si>
    <t>1101180981</t>
  </si>
  <si>
    <t>唐智韬</t>
  </si>
  <si>
    <t>13708534535</t>
  </si>
  <si>
    <t>贵州省贵阳市白云区白云区云环路恒大城31栋1602号</t>
  </si>
  <si>
    <t>跨公司销售订单:1101180981;客户PO号: 网订单号:D20220825142002000410 下单客户:63419 项目名称:批发_1030_1030_1030 客户备注:项目：北京中航金网-中国航发-线下_1000_1000_1000 网订单号：20220825140551000501客户备注：</t>
  </si>
  <si>
    <t>跨公司销售订单:1101180981;第三方网订单号:D20220825142002000410 ##客户备注:项目：北京中航金网-中国航发-线下_1000_1000_1000 网订单号：20220825140551000501 客户备注：</t>
  </si>
  <si>
    <t>63419</t>
  </si>
  <si>
    <t>8101491989</t>
  </si>
  <si>
    <t>1101180982</t>
  </si>
  <si>
    <t>齐</t>
  </si>
  <si>
    <t>18786704131</t>
  </si>
  <si>
    <t>贵州省贵阳市观山湖区碧海花园金翠湾11栋</t>
  </si>
  <si>
    <t>跨公司销售订单:1101180982;客户PO号: 网订单号:D20220825142002000411 下单客户:63380 项目名称:批发_1030_1030_1030 客户备注:项目：北京中航金网-中国航发-线下_1000_1000_1000 网订单号：20220825140659000502客户备注：</t>
  </si>
  <si>
    <t>跨公司销售订单:1101180982;第三方网订单号:D20220825142002000411 ##客户备注:项目：北京中航金网-中国航发-线下_1000_1000_1000 网订单号：20220825140659000502 客户备注：</t>
  </si>
  <si>
    <t>63380</t>
  </si>
  <si>
    <t>8101491990</t>
  </si>
  <si>
    <t>1101181972</t>
  </si>
  <si>
    <t>青海省海东地区互助县岔尔沟门村李家</t>
  </si>
  <si>
    <t>跨公司销售订单:1101181972;客户PO号: 网订单号:D20220822162502000468 下单客户:63386 项目名称:批发_1030_1030_1030 客户备注:项目：北京中航金网-中国航发-线下_1000_1000_1000 网订单号：20220822161310000469客户备注：</t>
  </si>
  <si>
    <t>跨公司销售订单:1101181972;第三方网订单号:D20220822162502000468 ##客户备注:项目：北京中航金网-中国航发-线下_1000_1000_1000 网订单号：20220822161310000469 客户备注：</t>
  </si>
  <si>
    <t>8101493471</t>
  </si>
  <si>
    <t>1101188213</t>
  </si>
  <si>
    <t>帅国平</t>
  </si>
  <si>
    <t>18569450443</t>
  </si>
  <si>
    <t>贵州省安顺市平坝县贵州省安顺市平坝区170家属区</t>
  </si>
  <si>
    <t>跨公司销售订单:1101188213;客户PO号: 网订单号:D20220820101002000100 下单客户:63410 项目名称:批发_1030_1030_1030 客户备注:项目：北京中航金网-中国航发-线下_1000_1000_1000 网订单号：20220820095744000101客户备注：</t>
  </si>
  <si>
    <t>跨公司销售订单:1101188213;第三方网订单号:D20220820101002000100 ##客户备注:项目：北京中航金网-中国航发-线下_1000_1000_1000 网订单号：20220820095744000101 客户备注：</t>
  </si>
  <si>
    <t>63410</t>
  </si>
  <si>
    <t>8101502490</t>
  </si>
  <si>
    <t>1101188214</t>
  </si>
  <si>
    <t>郭春晨</t>
  </si>
  <si>
    <t>15029646635</t>
  </si>
  <si>
    <t>贵州省贵阳市白云区绿地新都会  黎阳公寓（5号楼328）</t>
  </si>
  <si>
    <t>跨公司销售订单:1101188214;客户PO号: 网订单号:D20220821110002000105 下单客户:63383 项目名称:批发_1030_1030_1030 客户备注:项目：北京中航金网-中国航发-线下_1000_1000_1000 网订单号：20220821104750000102客户备注：</t>
  </si>
  <si>
    <t>跨公司销售订单:1101188214;第三方网订单号:D20220821110002000105 ##客户备注:项目：北京中航金网-中国航发-线下_1000_1000_1000 网订单号：20220821104750000102 客户备注：</t>
  </si>
  <si>
    <t>63383</t>
  </si>
  <si>
    <t>8101502491</t>
  </si>
  <si>
    <t>1101188215</t>
  </si>
  <si>
    <t>跨公司销售订单:1101188215;客户PO号: 网订单号:D20220821124501000162 下单客户:63393 项目名称:批发_1030_1030_1030 客户备注:项目：北京中航金网-中国航发-线下_1000_1000_1000 网订单号：20220821123047000166客户备注：</t>
  </si>
  <si>
    <t>跨公司销售订单:1101188215;第三方网订单号:D20220821124501000162 ##客户备注:项目：北京中航金网-中国航发-线下_1000_1000_1000 网订单号：20220821123047000166 客户备注：</t>
  </si>
  <si>
    <t>8101502492</t>
  </si>
  <si>
    <t>1101188216</t>
  </si>
  <si>
    <t>跨公司销售订单:1101188216;客户PO号: 网订单号:D20220821133502000193_0830 下单客户:63397 项目名称:批发_1030_1030_1030 客户备注:项目：北京中航金网-中国航发-线下_1000_1000_1000 网订单号：20220821132205000211 客户备注：</t>
  </si>
  <si>
    <t>跨公司销售订单:1101188216;第三方网订单号:D20220821133502000193_0830 ##客户备注:项目：北京中航金网-中国航发-线下_1000_1000_1000 网订单号：20220821132205000211 客户备注：</t>
  </si>
  <si>
    <t>8101502493</t>
  </si>
  <si>
    <t>1101188217</t>
  </si>
  <si>
    <t>跨公司销售订单:1101188217;客户PO号: 网订单号:D20220821165002000295 下单客户:63412 项目名称:批发_1030_1030_1030 客户备注:项目：北京中航金网-中国航发-线下_1000_1000_1000 网订单号：20220821163517000327客户备注：</t>
  </si>
  <si>
    <t>跨公司销售订单:1101188217;第三方网订单号:D20220821165002000295 ##客户备注:项目：北京中航金网-中国航发-线下_1000_1000_1000 网订单号：20220821163517000327 客户备注：</t>
  </si>
  <si>
    <t>8101502494</t>
  </si>
  <si>
    <t>1101188218</t>
  </si>
  <si>
    <t>贵州省安顺市平坝县170厂家属区</t>
  </si>
  <si>
    <t>跨公司销售订单:1101188218;客户PO号: 网订单号:D20220821215002000481 下单客户:63378 项目名称:批发_1030_1030_1030 客户备注:项目：北京中航金网-中国航发-线下_1000_1000_1000 网订单号：20220821213707000553客户备注：</t>
  </si>
  <si>
    <t>跨公司销售订单:1101188218;第三方网订单号:D20220821215002000481 ##客户备注:项目：北京中航金网-中国航发-线下_1000_1000_1000 网订单号：20220821213707000553 客户备注：</t>
  </si>
  <si>
    <t>8101502495</t>
  </si>
  <si>
    <t>1101188219</t>
  </si>
  <si>
    <t>吴尚谦</t>
  </si>
  <si>
    <t>17709070469</t>
  </si>
  <si>
    <t>贵州省安顺市平坝县170家属区</t>
  </si>
  <si>
    <t>跨公司销售订单:1101188219;客户PO号: 网订单号:D20220822095002000057 下单客户:63408 项目名称:批发_1030_1030_1030 客户备注:项目：北京中航金网-中国航发-线下_1000_1000_1000 网订单号：20220822093708000064客户备注：</t>
  </si>
  <si>
    <t>跨公司销售订单:1101188219;第三方网订单号:D20220822095002000057 ##客户备注:项目：北京中航金网-中国航发-线下_1000_1000_1000 网订单号：20220822093708000064 客户备注：</t>
  </si>
  <si>
    <t>63408</t>
  </si>
  <si>
    <t>8101502496</t>
  </si>
  <si>
    <t>1101188220</t>
  </si>
  <si>
    <t>跨公司销售订单:1101188220;客户PO号: 网订单号:D20220822115002000151 下单客户:63408 项目名称:批发_1030_1030_1030 客户备注:项目：北京中航金网-中国航发-线下_1000_1000_1000 网订单号：20220822113402000182客户备注：</t>
  </si>
  <si>
    <t>跨公司销售订单:1101188220;第三方网订单号:D20220822115002000151 ##客户备注:项目：北京中航金网-中国航发-线下_1000_1000_1000 网订单号：20220822113402000182 客户备注：</t>
  </si>
  <si>
    <t>8101502497</t>
  </si>
  <si>
    <t>1101188221</t>
  </si>
  <si>
    <t>跨公司销售订单:1101188221;客户PO号: 网订单号:D20220823233001000574 下单客户:63430 项目名称:批发_1030_1030_1030 客户备注:项目：北京中航金网-中国航发-线下_1000_1000_1000 网订单号：20220823231607000696客户备注：</t>
  </si>
  <si>
    <t>跨公司销售订单:1101188221;第三方网订单号:D20220823233001000574 ##客户备注:项目：北京中航金网-中国航发-线下_1000_1000_1000 网订单号：20220823231607000696 客户备注：</t>
  </si>
  <si>
    <t>8101502498</t>
  </si>
  <si>
    <t>1101188222</t>
  </si>
  <si>
    <t>跨公司销售订单:1101188222;客户PO号: 网订单号:D20220823233001000576 下单客户:63431 项目名称:批发_1030_1030_1030 客户备注:项目：北京中航金网-中国航发-线下_1000_1000_1000 网订单号：20220823231857000698客户备注：</t>
  </si>
  <si>
    <t>跨公司销售订单:1101188222;第三方网订单号:D20220823233001000576 ##客户备注:项目：北京中航金网-中国航发-线下_1000_1000_1000 网订单号：20220823231857000698 客户备注：</t>
  </si>
  <si>
    <t>8101502499</t>
  </si>
  <si>
    <t>1101188223</t>
  </si>
  <si>
    <t>柴宇</t>
  </si>
  <si>
    <t>15685153020</t>
  </si>
  <si>
    <t>贵州省贵阳市白云区绿地新都会黎阳公寓5栋</t>
  </si>
  <si>
    <t>跨公司销售订单:1101188223;客户PO号: 网订单号:D20220824034002000051 下单客户:63418 项目名称:批发_1030_1030_1030 客户备注:项目：北京中航金网-中国航发-线下_1000_1000_1000 网订单号：20220824032507000043客户备注：</t>
  </si>
  <si>
    <t>跨公司销售订单:1101188223;第三方网订单号:D20220824034002000051 ##客户备注:项目：北京中航金网-中国航发-线下_1000_1000_1000 网订单号：20220824032507000043 客户备注：</t>
  </si>
  <si>
    <t>8101502500</t>
  </si>
  <si>
    <t>1101188224</t>
  </si>
  <si>
    <t>跨公司销售订单:1101188224;客户PO号: 网订单号:D20220824110501000190 下单客户:63421 项目名称:批发_1030_1030_1030 客户备注:项目：北京中航金网-中国航发-线下_1000_1000_1000 网订单号：20220824105320000228客户备注：</t>
  </si>
  <si>
    <t>跨公司销售订单:1101188224;第三方网订单号:D20220824110501000190 ##客户备注:项目：北京中航金网-中国航发-线下_1000_1000_1000 网订单号：20220824105320000228 客户备注：</t>
  </si>
  <si>
    <t>8101502501</t>
  </si>
  <si>
    <t>1101188225</t>
  </si>
  <si>
    <t>跨公司销售订单:1101188225;客户PO号: 网订单号:D20220825083002000062 下单客户:63425 项目名称:批发_1030_1030_1030 客户备注:项目：北京中航金网-中国航发-线下_1000_1000_1000 网订单号：20220825081635000074客户备注：</t>
  </si>
  <si>
    <t>跨公司销售订单:1101188225;第三方网订单号:D20220825083002000062 ##客户备注:项目：北京中航金网-中国航发-线下_1000_1000_1000 网订单号：20220825081635000074 客户备注：</t>
  </si>
  <si>
    <t>8101502502</t>
  </si>
  <si>
    <t>1101188226</t>
  </si>
  <si>
    <t>跨公司销售订单:1101188226;客户PO号: 网订单号:D20220825142002000409 下单客户:63380 项目名称:批发_1030_1030_1030 客户备注:项目：北京中航金网-中国航发-线下_1000_1000_1000 网订单号：20220825140542000500客户备注：</t>
  </si>
  <si>
    <t>跨公司销售订单:1101188226;第三方网订单号:D20220825142002000409 ##客户备注:项目：北京中航金网-中国航发-线下_1000_1000_1000 网订单号：20220825140542000500 客户备注：</t>
  </si>
  <si>
    <t>8101502503</t>
  </si>
  <si>
    <t>1101188227</t>
  </si>
  <si>
    <t>跨公司销售订单:1101188227;客户PO号: 网订单号:D20220825142002000412 下单客户:63419 项目名称:批发_1030_1030_1030 客户备注:项目：北京中航金网-中国航发-线下_1000_1000_1000 网订单号：20220825140702000503客户备注：</t>
  </si>
  <si>
    <t>跨公司销售订单:1101188227;第三方网订单号:D20220825142002000412 ##客户备注:项目：北京中航金网-中国航发-线下_1000_1000_1000 网订单号：20220825140702000503 客户备注：</t>
  </si>
  <si>
    <t>8101502504</t>
  </si>
  <si>
    <t>1101188228</t>
  </si>
  <si>
    <t>张越翔</t>
  </si>
  <si>
    <t>18886011518</t>
  </si>
  <si>
    <t>贵州省贵阳市观山湖区A区31栋905号</t>
  </si>
  <si>
    <t>跨公司销售订单:1101188228;客户PO号: 网订单号:D20220826100003000099 下单客户:63381 项目名称:批发_1030_1030_1030 客户备注:项目：北京中航金网-中国航发-线下_1000_1000_1000 网订单号：20220826094625000119客户备注：</t>
  </si>
  <si>
    <t>跨公司销售订单:1101188228;第三方网订单号:D20220826100003000099 ##客户备注:项目：北京中航金网-中国航发-线下_1000_1000_1000 网订单号：20220826094625000119 客户备注：</t>
  </si>
  <si>
    <t>63381</t>
  </si>
  <si>
    <t>8101502505</t>
  </si>
  <si>
    <t>1101188229</t>
  </si>
  <si>
    <t>跨公司销售订单:1101188229;客户PO号: 网订单号:D20220826100003000100 下单客户:63381 项目名称:批发_1030_1030_1030 客户备注:项目：北京中航金网-中国航发-线下_1000_1000_1000 网订单号：20220826094652000121客户备注：</t>
  </si>
  <si>
    <t>跨公司销售订单:1101188229;第三方网订单号:D20220826100003000100 ##客户备注:项目：北京中航金网-中国航发-线下_1000_1000_1000 网订单号：20220826094652000121 客户备注：</t>
  </si>
  <si>
    <t>8101502506</t>
  </si>
  <si>
    <t>求和项:销售单价(含税)</t>
  </si>
  <si>
    <t>求和项:销售金额(含税)</t>
  </si>
  <si>
    <t>退货单</t>
  </si>
  <si>
    <t>订单类型流转错误</t>
  </si>
  <si>
    <t>D20220819195001000494_0929</t>
  </si>
  <si>
    <t>D20220819195002000496_0929</t>
  </si>
  <si>
    <t>D20220819201002000501_0929</t>
  </si>
  <si>
    <t>D20220819201002000502_0929</t>
  </si>
  <si>
    <t>D20220819204502000517_0929</t>
  </si>
  <si>
    <t>D20220819205002000519_0929</t>
  </si>
  <si>
    <t>D20220819205502000523_0929</t>
  </si>
  <si>
    <t>D20220819205502000524_0929</t>
  </si>
  <si>
    <t>D20220819205502000526_0929</t>
  </si>
  <si>
    <t>D20220819205502000527_0929</t>
  </si>
  <si>
    <t>D20220819205502000528_0929</t>
  </si>
  <si>
    <t>D20220819205502000529_0929</t>
  </si>
  <si>
    <t>D20220819210003000536_0929</t>
  </si>
  <si>
    <t>D20220819210003000537_0929</t>
  </si>
  <si>
    <t>D20220819212002000546_0929</t>
  </si>
  <si>
    <t>D20220819212002000547_0929</t>
  </si>
  <si>
    <t>D20220819212002000548_0929</t>
  </si>
  <si>
    <t>D20220819212502000554_0929</t>
  </si>
  <si>
    <t>D20220819213002000563_0929</t>
  </si>
  <si>
    <t>D20220819213002000566_0929</t>
  </si>
  <si>
    <t>D20220819213502000574_0929</t>
  </si>
  <si>
    <t>D20220819214001000580_0929</t>
  </si>
  <si>
    <t>D20220819214001000583_0929</t>
  </si>
  <si>
    <t>D20220819214001000584_0929</t>
  </si>
  <si>
    <t>D20220819214502000586_0929</t>
  </si>
  <si>
    <t>D20220819214502000587_0929</t>
  </si>
  <si>
    <t>D20220819214502000589_0929</t>
  </si>
  <si>
    <t>D20220819222002000613_0929</t>
  </si>
  <si>
    <t>D20220819222501000615_0929</t>
  </si>
  <si>
    <t>D20220819225002000639_0929</t>
  </si>
  <si>
    <t>D20220819230003000646_0929</t>
  </si>
  <si>
    <t>D20220820004502000019_0929</t>
  </si>
  <si>
    <t>D20220820004502000020_0929</t>
  </si>
  <si>
    <t>D20220820005501000022_0929</t>
  </si>
  <si>
    <t>D20220820010002000026_0929</t>
  </si>
  <si>
    <t>D20220820101002000100_0929</t>
  </si>
  <si>
    <t>D20220820105002000140_0929</t>
  </si>
  <si>
    <t>D20220820105002000141_0929</t>
  </si>
  <si>
    <t>D20220820110502000155_0929</t>
  </si>
  <si>
    <t>D20220820111001000157_0929</t>
  </si>
  <si>
    <t>D20220820120502000210_0929</t>
  </si>
  <si>
    <t>D20220820120502000212_0929</t>
  </si>
  <si>
    <t>D20220820134501000258_0929</t>
  </si>
  <si>
    <t>D20220820134501000259_0929</t>
  </si>
  <si>
    <t>D20220820150002000290_0929</t>
  </si>
  <si>
    <t>D20220820150002000291_0929</t>
  </si>
  <si>
    <t>D20220820155002000322_0929</t>
  </si>
  <si>
    <t>D20220820155002000324_0929</t>
  </si>
  <si>
    <t>D20220821052002000037_0929</t>
  </si>
  <si>
    <t>D20220821052502000038_0929</t>
  </si>
  <si>
    <t>D20220821110002000105_0929</t>
  </si>
  <si>
    <t>D20220821124501000162_0929</t>
  </si>
  <si>
    <t>D20220821124501000164_0929</t>
  </si>
  <si>
    <t>D20220821131502000180_0929</t>
  </si>
  <si>
    <t>D20220821131502000182_0929</t>
  </si>
  <si>
    <t>D20220821133502000193_0830_0929</t>
  </si>
  <si>
    <t>D20220821135002000201_0929</t>
  </si>
  <si>
    <t>D20220821165002000295_0929</t>
  </si>
  <si>
    <t>D20220821171501000321_0929</t>
  </si>
  <si>
    <t>D20220821214501000477_0929</t>
  </si>
  <si>
    <t>D20220821215002000481_0929</t>
  </si>
  <si>
    <t>D20220822001501000008_0929</t>
  </si>
  <si>
    <t>D20220822002001000009_0929</t>
  </si>
  <si>
    <t>D20220822013502000026_0929</t>
  </si>
  <si>
    <t>D20220822014001000027_0929</t>
  </si>
  <si>
    <t>D20220822095002000057_0929</t>
  </si>
  <si>
    <t>D20220822115002000151_0929</t>
  </si>
  <si>
    <t>D20220822115502000158_0929</t>
  </si>
  <si>
    <t>D20220822120003000161_0929</t>
  </si>
  <si>
    <t>D20220822120003000162_0929</t>
  </si>
  <si>
    <t>D20220822121501000177_0929</t>
  </si>
  <si>
    <t>D20220822121501000178_0929</t>
  </si>
  <si>
    <t>D20220822125002000199_0929</t>
  </si>
  <si>
    <t>D20220822125502000202_0929</t>
  </si>
  <si>
    <t>D20220822130002000208_0929</t>
  </si>
  <si>
    <t>D20220822131502000219_0929</t>
  </si>
  <si>
    <t>D20220822131502000220_0929</t>
  </si>
  <si>
    <t>D20220822132002000222_0929</t>
  </si>
  <si>
    <t>D20220822162502000468_0929</t>
  </si>
  <si>
    <t>D20220822163001000469_0929</t>
  </si>
  <si>
    <t>D20220822192002000566_0929</t>
  </si>
  <si>
    <t>D20220822193001000568_0929</t>
  </si>
  <si>
    <t>D20220822205001000599_0929</t>
  </si>
  <si>
    <t>D20220822205001000600_0929</t>
  </si>
  <si>
    <t>D20220822205001000601_0929</t>
  </si>
  <si>
    <t>D20220822205001000607_0929</t>
  </si>
  <si>
    <t>D20220823204501000469_0929</t>
  </si>
  <si>
    <t>D20220823233001000573_0929</t>
  </si>
  <si>
    <t>D20220823233001000574_0929</t>
  </si>
  <si>
    <t>D20220823233001000576_0929</t>
  </si>
  <si>
    <t>D20220823233502000577_0929</t>
  </si>
  <si>
    <t>D20220824034002000051_0929</t>
  </si>
  <si>
    <t>D20220824034502000052_0929</t>
  </si>
  <si>
    <t>D20220824110501000187_0929</t>
  </si>
  <si>
    <t>D20220824110501000190_0929</t>
  </si>
  <si>
    <t>D20220825083002000062_0929</t>
  </si>
  <si>
    <t>D20220825083501000068_0929</t>
  </si>
  <si>
    <t>D20220825142002000409_0929</t>
  </si>
  <si>
    <t>D20220825142002000410_0929</t>
  </si>
  <si>
    <t>D20220825142002000411_0929</t>
  </si>
  <si>
    <t>D20220825142002000412_0929</t>
  </si>
  <si>
    <t>D20220826100003000099_0929</t>
  </si>
  <si>
    <t>D20220826100003000100_0929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</si>
</sst>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#,##0.000"/>
  </numFmts>
  <fonts count="23">
    <font>
      <sz val="12"/>
      <color theme="1"/>
      <name val="等线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 applyProtection="1">
      <alignment vertical="top"/>
    </xf>
    <xf numFmtId="14" fontId="1" fillId="0" borderId="0" xfId="0" applyNumberFormat="1" applyFont="1" applyAlignment="1">
      <alignment horizontal="right" vertical="top"/>
    </xf>
    <xf numFmtId="17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7"/>
  <sheetViews>
    <sheetView workbookViewId="0">
      <selection activeCell="A1" sqref="A1"/>
    </sheetView>
  </sheetViews>
  <sheetFormatPr defaultColWidth="9.16666666666667" defaultRowHeight="12.75" customHeight="1" outlineLevelCol="4"/>
  <cols>
    <col min="1" max="1" width="9" style="2" customWidth="1"/>
    <col min="2" max="2" width="48.1666666666667" style="2" customWidth="1"/>
    <col min="4" max="4" width="15.5" style="2" customWidth="1"/>
  </cols>
  <sheetData>
    <row r="1" customHeight="1" spans="1:5">
      <c r="A1" s="2" t="s">
        <v>149</v>
      </c>
      <c r="B1" s="2" t="s">
        <v>152</v>
      </c>
      <c r="C1" s="2" t="s">
        <v>168</v>
      </c>
      <c r="D1" s="2" t="s">
        <v>1033</v>
      </c>
      <c r="E1" s="2" t="s">
        <v>1034</v>
      </c>
    </row>
    <row r="2" customHeight="1" spans="1:5">
      <c r="A2" s="2">
        <v>1030900</v>
      </c>
      <c r="B2" s="2" t="s">
        <v>642</v>
      </c>
      <c r="C2" s="2">
        <v>1</v>
      </c>
      <c r="D2" s="2">
        <v>0</v>
      </c>
      <c r="E2" s="2">
        <v>0</v>
      </c>
    </row>
    <row r="3" customHeight="1" spans="1:5">
      <c r="A3" s="2">
        <v>1143600</v>
      </c>
      <c r="B3" s="2" t="s">
        <v>297</v>
      </c>
      <c r="C3" s="2">
        <v>1</v>
      </c>
      <c r="D3" s="2">
        <v>440</v>
      </c>
      <c r="E3" s="2">
        <v>440</v>
      </c>
    </row>
    <row r="4" customHeight="1" spans="1:5">
      <c r="A4" s="2">
        <v>1177005</v>
      </c>
      <c r="B4" s="2" t="s">
        <v>454</v>
      </c>
      <c r="C4" s="2">
        <v>1</v>
      </c>
      <c r="D4" s="2">
        <v>0</v>
      </c>
      <c r="E4" s="2">
        <v>0</v>
      </c>
    </row>
    <row r="5" customHeight="1" spans="1:5">
      <c r="A5" s="2">
        <v>1189541</v>
      </c>
      <c r="B5" s="2" t="s">
        <v>258</v>
      </c>
      <c r="C5" s="2">
        <v>1</v>
      </c>
      <c r="D5" s="2">
        <v>264</v>
      </c>
      <c r="E5" s="2">
        <v>264</v>
      </c>
    </row>
    <row r="6" customHeight="1" spans="1:5">
      <c r="A6" s="2">
        <v>1195208</v>
      </c>
      <c r="B6" s="2" t="s">
        <v>336</v>
      </c>
      <c r="C6" s="2">
        <v>1</v>
      </c>
      <c r="D6" s="2">
        <v>325</v>
      </c>
      <c r="E6" s="2">
        <v>325</v>
      </c>
    </row>
    <row r="7" customHeight="1" spans="1:5">
      <c r="A7" s="2">
        <v>1203142</v>
      </c>
      <c r="B7" s="2" t="s">
        <v>574</v>
      </c>
      <c r="C7" s="2">
        <v>1</v>
      </c>
      <c r="D7" s="2">
        <v>0</v>
      </c>
      <c r="E7" s="2">
        <v>0</v>
      </c>
    </row>
    <row r="8" customHeight="1" spans="1:5">
      <c r="A8" s="2">
        <v>1267063</v>
      </c>
      <c r="B8" s="2" t="s">
        <v>301</v>
      </c>
      <c r="C8" s="2">
        <v>2</v>
      </c>
      <c r="D8" s="2">
        <v>160</v>
      </c>
      <c r="E8" s="2">
        <v>320</v>
      </c>
    </row>
    <row r="9" customHeight="1" spans="1:5">
      <c r="A9" s="2">
        <v>1272794</v>
      </c>
      <c r="B9" s="2" t="s">
        <v>356</v>
      </c>
      <c r="C9" s="2">
        <v>1</v>
      </c>
      <c r="D9" s="2">
        <v>144</v>
      </c>
      <c r="E9" s="2">
        <v>144</v>
      </c>
    </row>
    <row r="10" customHeight="1" spans="1:5">
      <c r="A10" s="2">
        <v>1312175</v>
      </c>
      <c r="B10" s="2" t="s">
        <v>249</v>
      </c>
      <c r="C10" s="2">
        <v>2</v>
      </c>
      <c r="D10" s="2">
        <v>1272</v>
      </c>
      <c r="E10" s="2">
        <v>2544</v>
      </c>
    </row>
    <row r="11" customHeight="1" spans="1:5">
      <c r="A11" s="2">
        <v>1312210</v>
      </c>
      <c r="B11" s="2" t="s">
        <v>714</v>
      </c>
      <c r="C11" s="2">
        <v>1</v>
      </c>
      <c r="D11" s="2">
        <v>0</v>
      </c>
      <c r="E11" s="2">
        <v>0</v>
      </c>
    </row>
    <row r="12" customHeight="1" spans="1:5">
      <c r="A12" s="2">
        <v>1337269</v>
      </c>
      <c r="B12" s="2" t="s">
        <v>305</v>
      </c>
      <c r="C12" s="2">
        <v>1</v>
      </c>
      <c r="D12" s="2">
        <v>260</v>
      </c>
      <c r="E12" s="2">
        <v>260</v>
      </c>
    </row>
    <row r="13" customHeight="1" spans="1:5">
      <c r="A13" s="2">
        <v>1362509</v>
      </c>
      <c r="B13" s="2" t="s">
        <v>392</v>
      </c>
      <c r="C13" s="2">
        <v>1</v>
      </c>
      <c r="D13" s="2">
        <v>66.4</v>
      </c>
      <c r="E13" s="2">
        <v>66.4</v>
      </c>
    </row>
    <row r="14" customHeight="1" spans="1:5">
      <c r="A14" s="2">
        <v>1412939</v>
      </c>
      <c r="B14" s="2" t="s">
        <v>329</v>
      </c>
      <c r="C14" s="2">
        <v>1</v>
      </c>
      <c r="D14" s="2">
        <v>0</v>
      </c>
      <c r="E14" s="2">
        <v>0</v>
      </c>
    </row>
    <row r="15" customHeight="1" spans="1:5">
      <c r="A15" s="2">
        <v>1443395</v>
      </c>
      <c r="B15" s="2" t="s">
        <v>548</v>
      </c>
      <c r="C15" s="2">
        <v>1</v>
      </c>
      <c r="D15" s="2">
        <v>0</v>
      </c>
      <c r="E15" s="2">
        <v>0</v>
      </c>
    </row>
    <row r="16" customHeight="1" spans="1:5">
      <c r="A16" s="2">
        <v>1609076</v>
      </c>
      <c r="B16" s="2" t="s">
        <v>420</v>
      </c>
      <c r="C16" s="2">
        <v>1</v>
      </c>
      <c r="D16" s="2">
        <v>0</v>
      </c>
      <c r="E16" s="2">
        <v>0</v>
      </c>
    </row>
    <row r="17" customHeight="1" spans="1:5">
      <c r="A17" s="2">
        <v>1620546</v>
      </c>
      <c r="B17" s="2" t="s">
        <v>769</v>
      </c>
      <c r="C17" s="2">
        <v>1</v>
      </c>
      <c r="D17" s="2">
        <v>0</v>
      </c>
      <c r="E17" s="2">
        <v>0</v>
      </c>
    </row>
    <row r="18" customHeight="1" spans="1:5">
      <c r="A18" s="2">
        <v>2017310</v>
      </c>
      <c r="B18" s="2" t="s">
        <v>353</v>
      </c>
      <c r="C18" s="2">
        <v>1</v>
      </c>
      <c r="D18" s="2">
        <v>1032</v>
      </c>
      <c r="E18" s="2">
        <v>1032</v>
      </c>
    </row>
    <row r="19" customHeight="1" spans="1:5">
      <c r="A19" s="2">
        <v>2020117</v>
      </c>
      <c r="B19" s="2" t="s">
        <v>388</v>
      </c>
      <c r="C19" s="2">
        <v>1</v>
      </c>
      <c r="D19" s="2">
        <v>1700</v>
      </c>
      <c r="E19" s="2">
        <v>1700</v>
      </c>
    </row>
    <row r="20" customHeight="1" spans="1:5">
      <c r="A20" s="2">
        <v>2024629</v>
      </c>
      <c r="B20" s="2" t="s">
        <v>484</v>
      </c>
      <c r="C20" s="2">
        <v>1</v>
      </c>
      <c r="D20" s="2">
        <v>0</v>
      </c>
      <c r="E20" s="2">
        <v>0</v>
      </c>
    </row>
    <row r="21" customHeight="1" spans="1:5">
      <c r="A21" s="2">
        <v>2064527</v>
      </c>
      <c r="B21" s="2" t="s">
        <v>339</v>
      </c>
      <c r="C21" s="2">
        <v>1</v>
      </c>
      <c r="D21" s="2">
        <v>240</v>
      </c>
      <c r="E21" s="2">
        <v>240</v>
      </c>
    </row>
    <row r="22" customHeight="1" spans="1:5">
      <c r="A22" s="2">
        <v>2076661</v>
      </c>
      <c r="B22" s="2" t="s">
        <v>334</v>
      </c>
      <c r="C22" s="2">
        <v>1</v>
      </c>
      <c r="D22" s="2">
        <v>85</v>
      </c>
      <c r="E22" s="2">
        <v>85</v>
      </c>
    </row>
    <row r="23" customHeight="1" spans="1:5">
      <c r="A23" s="2">
        <v>2084457</v>
      </c>
      <c r="B23" s="2" t="s">
        <v>385</v>
      </c>
      <c r="C23" s="2">
        <v>1</v>
      </c>
      <c r="D23" s="2">
        <v>2750</v>
      </c>
      <c r="E23" s="2">
        <v>2750</v>
      </c>
    </row>
    <row r="24" customHeight="1" spans="1:5">
      <c r="A24" s="2">
        <v>2214426</v>
      </c>
      <c r="B24" s="2" t="s">
        <v>541</v>
      </c>
      <c r="C24" s="2">
        <v>1</v>
      </c>
      <c r="D24" s="2">
        <v>0</v>
      </c>
      <c r="E24" s="2">
        <v>0</v>
      </c>
    </row>
    <row r="25" customHeight="1" spans="1:5">
      <c r="A25" s="2">
        <v>2216965</v>
      </c>
      <c r="B25" s="2" t="s">
        <v>236</v>
      </c>
      <c r="C25" s="2">
        <v>1</v>
      </c>
      <c r="D25" s="2">
        <v>0</v>
      </c>
      <c r="E25" s="2">
        <v>0</v>
      </c>
    </row>
    <row r="26" customHeight="1" spans="1:5">
      <c r="A26" s="2">
        <v>2248497</v>
      </c>
      <c r="B26" s="2" t="s">
        <v>381</v>
      </c>
      <c r="C26" s="2">
        <v>1</v>
      </c>
      <c r="D26" s="2">
        <v>549.6</v>
      </c>
      <c r="E26" s="2">
        <v>549.6</v>
      </c>
    </row>
    <row r="27" customHeight="1" spans="1:5">
      <c r="A27" s="2">
        <v>2251281</v>
      </c>
      <c r="B27" s="2" t="s">
        <v>378</v>
      </c>
      <c r="C27" s="2">
        <v>1</v>
      </c>
      <c r="D27" s="2">
        <v>0</v>
      </c>
      <c r="E27" s="2">
        <v>0</v>
      </c>
    </row>
    <row r="28" customHeight="1" spans="1:5">
      <c r="A28" s="2">
        <v>2251291</v>
      </c>
      <c r="B28" s="2" t="s">
        <v>469</v>
      </c>
      <c r="C28" s="2">
        <v>1</v>
      </c>
      <c r="D28" s="2">
        <v>0</v>
      </c>
      <c r="E28" s="2">
        <v>0</v>
      </c>
    </row>
    <row r="29" customHeight="1" spans="1:5">
      <c r="A29" s="2">
        <v>2260246</v>
      </c>
      <c r="B29" s="2" t="s">
        <v>653</v>
      </c>
      <c r="C29" s="2">
        <v>1</v>
      </c>
      <c r="D29" s="2">
        <v>0</v>
      </c>
      <c r="E29" s="2">
        <v>0</v>
      </c>
    </row>
    <row r="30" customHeight="1" spans="1:5">
      <c r="A30" s="2">
        <v>2280592</v>
      </c>
      <c r="B30" s="2" t="s">
        <v>265</v>
      </c>
      <c r="C30" s="2">
        <v>1</v>
      </c>
      <c r="D30" s="2">
        <v>192</v>
      </c>
      <c r="E30" s="2">
        <v>192</v>
      </c>
    </row>
    <row r="31" customHeight="1" spans="1:5">
      <c r="A31" s="2">
        <v>2335951</v>
      </c>
      <c r="B31" s="2" t="s">
        <v>282</v>
      </c>
      <c r="C31" s="2">
        <v>1</v>
      </c>
      <c r="D31" s="2">
        <v>384</v>
      </c>
      <c r="E31" s="2">
        <v>384</v>
      </c>
    </row>
    <row r="32" customHeight="1" spans="1:5">
      <c r="A32" s="2">
        <v>2343203</v>
      </c>
      <c r="B32" s="2" t="s">
        <v>350</v>
      </c>
      <c r="C32" s="2">
        <v>1</v>
      </c>
      <c r="D32" s="2">
        <v>768</v>
      </c>
      <c r="E32" s="2">
        <v>768</v>
      </c>
    </row>
    <row r="33" customHeight="1" spans="1:5">
      <c r="A33" s="2">
        <v>2608745</v>
      </c>
      <c r="B33" s="2" t="s">
        <v>410</v>
      </c>
      <c r="C33" s="2">
        <v>1</v>
      </c>
      <c r="D33" s="2">
        <v>0</v>
      </c>
      <c r="E33" s="2">
        <v>0</v>
      </c>
    </row>
    <row r="34" customHeight="1" spans="1:5">
      <c r="A34" s="2">
        <v>2716940</v>
      </c>
      <c r="B34" s="2" t="s">
        <v>309</v>
      </c>
      <c r="C34" s="2">
        <v>1</v>
      </c>
      <c r="D34" s="2">
        <v>1140</v>
      </c>
      <c r="E34" s="2">
        <v>1140</v>
      </c>
    </row>
    <row r="35" customHeight="1" spans="1:5">
      <c r="A35" s="2">
        <v>2717266</v>
      </c>
      <c r="B35" s="2" t="s">
        <v>495</v>
      </c>
      <c r="C35" s="2">
        <v>1</v>
      </c>
      <c r="D35" s="2">
        <v>0</v>
      </c>
      <c r="E35" s="2">
        <v>0</v>
      </c>
    </row>
    <row r="36" customHeight="1" spans="1:5">
      <c r="A36" s="2">
        <v>2748752</v>
      </c>
      <c r="B36" s="2" t="s">
        <v>360</v>
      </c>
      <c r="C36" s="2">
        <v>1</v>
      </c>
      <c r="D36" s="2">
        <v>1176</v>
      </c>
      <c r="E36" s="2">
        <v>1176</v>
      </c>
    </row>
    <row r="37" customHeight="1" spans="1:5">
      <c r="A37" s="2">
        <v>2932368</v>
      </c>
      <c r="B37" s="2" t="s">
        <v>270</v>
      </c>
      <c r="C37" s="2">
        <v>2</v>
      </c>
      <c r="D37" s="2">
        <v>2226</v>
      </c>
      <c r="E37" s="2">
        <v>4452</v>
      </c>
    </row>
    <row r="38" customHeight="1" spans="1:5">
      <c r="A38" s="2">
        <v>3452021</v>
      </c>
      <c r="B38" s="2" t="s">
        <v>312</v>
      </c>
      <c r="C38" s="2">
        <v>1</v>
      </c>
      <c r="D38" s="2">
        <v>120</v>
      </c>
      <c r="E38" s="2">
        <v>120</v>
      </c>
    </row>
    <row r="39" customHeight="1" spans="1:5">
      <c r="A39" s="2">
        <v>3844227</v>
      </c>
      <c r="B39" s="2" t="s">
        <v>293</v>
      </c>
      <c r="C39" s="2">
        <v>1</v>
      </c>
      <c r="D39" s="2">
        <v>0</v>
      </c>
      <c r="E39" s="2">
        <v>0</v>
      </c>
    </row>
    <row r="40" customHeight="1" spans="1:5">
      <c r="A40" s="2">
        <v>3945914</v>
      </c>
      <c r="B40" s="2" t="s">
        <v>424</v>
      </c>
      <c r="C40" s="2">
        <v>1</v>
      </c>
      <c r="D40" s="2">
        <v>861</v>
      </c>
      <c r="E40" s="2">
        <v>861</v>
      </c>
    </row>
    <row r="41" customHeight="1" spans="1:5">
      <c r="A41" s="2">
        <v>4074632</v>
      </c>
      <c r="B41" s="2" t="s">
        <v>849</v>
      </c>
      <c r="C41" s="2">
        <v>1</v>
      </c>
      <c r="D41" s="2">
        <v>0</v>
      </c>
      <c r="E41" s="2">
        <v>0</v>
      </c>
    </row>
    <row r="42" customHeight="1" spans="1:5">
      <c r="A42" s="2">
        <v>4074635</v>
      </c>
      <c r="B42" s="2" t="s">
        <v>615</v>
      </c>
      <c r="C42" s="2">
        <v>1</v>
      </c>
      <c r="D42" s="2">
        <v>0</v>
      </c>
      <c r="E42" s="2">
        <v>0</v>
      </c>
    </row>
    <row r="43" customHeight="1" spans="1:5">
      <c r="A43" s="2">
        <v>4155123</v>
      </c>
      <c r="B43" s="2" t="s">
        <v>276</v>
      </c>
      <c r="C43" s="2">
        <v>2</v>
      </c>
      <c r="D43" s="2">
        <v>1007</v>
      </c>
      <c r="E43" s="2">
        <v>2014</v>
      </c>
    </row>
    <row r="44" customHeight="1" spans="1:5">
      <c r="A44" s="2">
        <v>4155841</v>
      </c>
      <c r="B44" s="2" t="s">
        <v>396</v>
      </c>
      <c r="C44" s="2">
        <v>1</v>
      </c>
      <c r="D44" s="2">
        <v>272</v>
      </c>
      <c r="E44" s="2">
        <v>272</v>
      </c>
    </row>
    <row r="45" customHeight="1" spans="1:5">
      <c r="A45" s="2">
        <v>4155841</v>
      </c>
      <c r="B45" s="2" t="s">
        <v>396</v>
      </c>
      <c r="C45" s="2">
        <v>2</v>
      </c>
      <c r="D45" s="2">
        <v>1428</v>
      </c>
      <c r="E45" s="2">
        <v>2856</v>
      </c>
    </row>
    <row r="46" customHeight="1" spans="1:5">
      <c r="A46" s="2">
        <v>4155982</v>
      </c>
      <c r="B46" s="2" t="s">
        <v>427</v>
      </c>
      <c r="C46" s="2">
        <v>1</v>
      </c>
      <c r="D46" s="2">
        <v>945</v>
      </c>
      <c r="E46" s="2">
        <v>945</v>
      </c>
    </row>
    <row r="47" customHeight="1" spans="1:5">
      <c r="A47" s="2" t="s">
        <v>104</v>
      </c>
      <c r="D47" s="2">
        <v>19807</v>
      </c>
      <c r="E47" s="2">
        <v>25900</v>
      </c>
    </row>
  </sheetData>
  <autoFilter ref="A1:E47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5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.16666666666667" defaultRowHeight="12.75" customHeight="1"/>
  <cols>
    <col min="1" max="1" width="14.6666666666667" style="2" customWidth="1"/>
    <col min="2" max="2" width="11.6666666666667" style="2" customWidth="1"/>
    <col min="4" max="4" width="18.1666666666667" style="2" customWidth="1"/>
    <col min="10" max="10" width="11.6666666666667" style="2" customWidth="1"/>
  </cols>
  <sheetData>
    <row r="1" customHeight="1" spans="1:4">
      <c r="A1" s="2" t="s">
        <v>107</v>
      </c>
      <c r="B1" s="3" t="s">
        <v>1035</v>
      </c>
      <c r="D1" s="3" t="s">
        <v>1036</v>
      </c>
    </row>
    <row r="2" customHeight="1" spans="1:2">
      <c r="A2" s="2" t="s">
        <v>205</v>
      </c>
      <c r="B2" s="2">
        <v>2000247096</v>
      </c>
    </row>
    <row r="3" customHeight="1" spans="1:2">
      <c r="A3" s="2" t="s">
        <v>285</v>
      </c>
      <c r="B3" s="2">
        <v>2000247104</v>
      </c>
    </row>
    <row r="4" customHeight="1" spans="1:2">
      <c r="A4" s="2" t="s">
        <v>321</v>
      </c>
      <c r="B4" s="2">
        <v>2000247107</v>
      </c>
    </row>
    <row r="5" customHeight="1" spans="1:2">
      <c r="A5" s="2" t="s">
        <v>341</v>
      </c>
      <c r="B5" s="2">
        <v>2000247120</v>
      </c>
    </row>
    <row r="6" customHeight="1" spans="1:2">
      <c r="A6" s="2" t="s">
        <v>362</v>
      </c>
      <c r="B6" s="2">
        <v>2000247136</v>
      </c>
    </row>
    <row r="7" customHeight="1" spans="1:2">
      <c r="A7" s="2" t="s">
        <v>370</v>
      </c>
      <c r="B7" s="2">
        <v>2000247146</v>
      </c>
    </row>
    <row r="8" customHeight="1" spans="1:2">
      <c r="A8" s="2" t="s">
        <v>398</v>
      </c>
      <c r="B8" s="2">
        <v>2000247152</v>
      </c>
    </row>
    <row r="9" customHeight="1" spans="1:10">
      <c r="A9" s="2" t="s">
        <v>402</v>
      </c>
      <c r="B9" s="2">
        <v>2000247256</v>
      </c>
      <c r="J9" s="2">
        <v>1600009447</v>
      </c>
    </row>
    <row r="10" customHeight="1" spans="1:10">
      <c r="A10" s="2" t="s">
        <v>412</v>
      </c>
      <c r="B10" s="2">
        <v>2000247261</v>
      </c>
      <c r="J10" s="2">
        <v>8003155735</v>
      </c>
    </row>
    <row r="11" customHeight="1" spans="1:10">
      <c r="A11" s="2" t="s">
        <v>430</v>
      </c>
      <c r="B11" s="2">
        <v>2000247264</v>
      </c>
      <c r="J11" s="2">
        <v>8003155734</v>
      </c>
    </row>
    <row r="12" customHeight="1" spans="1:10">
      <c r="A12" s="2" t="s">
        <v>434</v>
      </c>
      <c r="B12" s="2">
        <v>2000247266</v>
      </c>
      <c r="J12" s="2">
        <v>7000211103</v>
      </c>
    </row>
    <row r="13" customHeight="1" spans="1:10">
      <c r="A13" s="2" t="s">
        <v>442</v>
      </c>
      <c r="B13" s="2">
        <v>2000247267</v>
      </c>
      <c r="J13" s="2">
        <v>1600009153</v>
      </c>
    </row>
    <row r="14" customHeight="1" spans="1:2">
      <c r="A14" s="2" t="s">
        <v>446</v>
      </c>
      <c r="B14" s="2">
        <v>2000247327</v>
      </c>
    </row>
    <row r="15" customHeight="1" spans="1:2">
      <c r="A15" s="2" t="s">
        <v>457</v>
      </c>
      <c r="B15" s="2">
        <v>2000247328</v>
      </c>
    </row>
    <row r="16" customHeight="1" spans="1:2">
      <c r="A16" s="2" t="s">
        <v>465</v>
      </c>
      <c r="B16" s="2">
        <v>2000247329</v>
      </c>
    </row>
    <row r="17" customHeight="1" spans="1:2">
      <c r="A17" s="2" t="s">
        <v>472</v>
      </c>
      <c r="B17" s="2">
        <v>2000247330</v>
      </c>
    </row>
    <row r="18" customHeight="1" spans="1:2">
      <c r="A18" s="2" t="s">
        <v>480</v>
      </c>
      <c r="B18" s="2">
        <v>2000247331</v>
      </c>
    </row>
    <row r="19" customHeight="1" spans="1:2">
      <c r="A19" s="2" t="s">
        <v>487</v>
      </c>
      <c r="B19" s="2">
        <v>2000247332</v>
      </c>
    </row>
    <row r="20" customHeight="1" spans="1:2">
      <c r="A20" s="2" t="s">
        <v>497</v>
      </c>
      <c r="B20" s="2">
        <v>2000247333</v>
      </c>
    </row>
    <row r="21" customHeight="1" spans="1:2">
      <c r="A21" s="2" t="s">
        <v>505</v>
      </c>
      <c r="B21" s="2">
        <v>2000247334</v>
      </c>
    </row>
    <row r="22" customHeight="1" spans="1:2">
      <c r="A22" s="2" t="s">
        <v>509</v>
      </c>
      <c r="B22" s="2">
        <v>2000247335</v>
      </c>
    </row>
    <row r="23" customHeight="1" spans="1:2">
      <c r="A23" s="2" t="s">
        <v>517</v>
      </c>
      <c r="B23" s="2">
        <v>2000247353</v>
      </c>
    </row>
    <row r="24" customHeight="1" spans="1:2">
      <c r="A24" s="2" t="s">
        <v>525</v>
      </c>
      <c r="B24" s="2">
        <v>2000247354</v>
      </c>
    </row>
    <row r="25" customHeight="1" spans="1:2">
      <c r="A25" s="2" t="s">
        <v>533</v>
      </c>
      <c r="B25" s="2">
        <v>2000247355</v>
      </c>
    </row>
    <row r="26" customHeight="1" spans="1:2">
      <c r="A26" s="2" t="s">
        <v>544</v>
      </c>
      <c r="B26" s="2">
        <v>2000247356</v>
      </c>
    </row>
    <row r="27" customHeight="1" spans="1:2">
      <c r="A27" s="2" t="s">
        <v>551</v>
      </c>
      <c r="B27" s="2">
        <v>2000247359</v>
      </c>
    </row>
    <row r="28" customHeight="1" spans="1:2">
      <c r="A28" s="2" t="s">
        <v>555</v>
      </c>
      <c r="B28" s="2">
        <v>2000247360</v>
      </c>
    </row>
    <row r="29" customHeight="1" spans="1:2">
      <c r="A29" s="2" t="s">
        <v>563</v>
      </c>
      <c r="B29" s="2">
        <v>2000247361</v>
      </c>
    </row>
    <row r="30" customHeight="1" spans="1:2">
      <c r="A30" s="2" t="s">
        <v>567</v>
      </c>
      <c r="B30" s="2">
        <v>2000247363</v>
      </c>
    </row>
    <row r="31" customHeight="1" spans="1:2">
      <c r="A31" s="2" t="s">
        <v>576</v>
      </c>
      <c r="B31" s="2">
        <v>2000247364</v>
      </c>
    </row>
    <row r="32" customHeight="1" spans="1:2">
      <c r="A32" s="2" t="s">
        <v>580</v>
      </c>
      <c r="B32" s="2">
        <v>2000247365</v>
      </c>
    </row>
    <row r="33" customHeight="1" spans="1:2">
      <c r="A33" s="2" t="s">
        <v>588</v>
      </c>
      <c r="B33" s="2">
        <v>2000247366</v>
      </c>
    </row>
    <row r="34" customHeight="1" spans="1:2">
      <c r="A34" s="2" t="s">
        <v>592</v>
      </c>
      <c r="B34" s="2">
        <v>2000247371</v>
      </c>
    </row>
    <row r="35" customHeight="1" spans="1:2">
      <c r="A35" s="2" t="s">
        <v>597</v>
      </c>
      <c r="B35" s="2">
        <v>2000247372</v>
      </c>
    </row>
    <row r="36" customHeight="1" spans="1:2">
      <c r="A36" s="2" t="s">
        <v>604</v>
      </c>
      <c r="B36" s="2">
        <v>2000247373</v>
      </c>
    </row>
    <row r="37" customHeight="1" spans="1:2">
      <c r="A37" s="2" t="s">
        <v>608</v>
      </c>
      <c r="B37" s="2">
        <v>2000247374</v>
      </c>
    </row>
    <row r="38" customHeight="1" spans="1:2">
      <c r="A38" s="2" t="s">
        <v>618</v>
      </c>
      <c r="B38" s="2">
        <v>2000247375</v>
      </c>
    </row>
    <row r="39" customHeight="1" spans="1:2">
      <c r="A39" s="2" t="s">
        <v>623</v>
      </c>
      <c r="B39" s="2">
        <v>2000247377</v>
      </c>
    </row>
    <row r="40" ht="14.25" customHeight="1" spans="1:2">
      <c r="A40" s="2" t="s">
        <v>631</v>
      </c>
      <c r="B40" s="2">
        <v>2000247434</v>
      </c>
    </row>
    <row r="41" ht="14.25" customHeight="1" spans="1:2">
      <c r="A41" s="2" t="s">
        <v>635</v>
      </c>
      <c r="B41" s="2">
        <v>2000247435</v>
      </c>
    </row>
    <row r="42" ht="14.25" customHeight="1" spans="1:2">
      <c r="A42" s="2" t="s">
        <v>645</v>
      </c>
      <c r="B42" s="2">
        <v>2000247437</v>
      </c>
    </row>
    <row r="43" ht="14.25" customHeight="1" spans="1:2">
      <c r="A43" s="2" t="s">
        <v>656</v>
      </c>
      <c r="B43" s="2">
        <v>2000247439</v>
      </c>
    </row>
    <row r="44" ht="14.25" customHeight="1" spans="1:2">
      <c r="A44" s="2" t="s">
        <v>660</v>
      </c>
      <c r="B44" s="2">
        <v>2000247440</v>
      </c>
    </row>
    <row r="45" ht="14.25" customHeight="1" spans="1:2">
      <c r="A45" s="2" t="s">
        <v>667</v>
      </c>
      <c r="B45" s="2">
        <v>2000247443</v>
      </c>
    </row>
    <row r="46" ht="14.25" customHeight="1" spans="1:2">
      <c r="A46" s="2" t="s">
        <v>671</v>
      </c>
      <c r="B46" s="2">
        <v>2000247444</v>
      </c>
    </row>
    <row r="47" ht="14.25" customHeight="1" spans="1:2">
      <c r="A47" s="2" t="s">
        <v>678</v>
      </c>
      <c r="B47" s="2">
        <v>2000247446</v>
      </c>
    </row>
    <row r="48" ht="14.25" customHeight="1" spans="1:2">
      <c r="A48" s="2" t="s">
        <v>682</v>
      </c>
      <c r="B48" s="2">
        <v>2000247447</v>
      </c>
    </row>
    <row r="49" ht="14.25" customHeight="1" spans="1:2">
      <c r="A49" s="2" t="s">
        <v>690</v>
      </c>
      <c r="B49" s="2">
        <v>2000247449</v>
      </c>
    </row>
    <row r="50" ht="14.25" customHeight="1" spans="1:2">
      <c r="A50" s="2" t="s">
        <v>694</v>
      </c>
      <c r="B50" s="2">
        <v>2000247451</v>
      </c>
    </row>
    <row r="51" ht="14.25" customHeight="1" spans="1:2">
      <c r="A51" s="2" t="s">
        <v>702</v>
      </c>
      <c r="B51" s="2">
        <v>2000247453</v>
      </c>
    </row>
    <row r="52" ht="14.25" customHeight="1" spans="1:2">
      <c r="A52" s="2" t="s">
        <v>706</v>
      </c>
      <c r="B52" s="2">
        <v>2000247454</v>
      </c>
    </row>
    <row r="53" ht="14.25" customHeight="1" spans="1:2">
      <c r="A53" s="2" t="s">
        <v>717</v>
      </c>
      <c r="B53" s="2">
        <v>2000247455</v>
      </c>
    </row>
    <row r="54" ht="14.25" customHeight="1" spans="1:2">
      <c r="A54" s="2" t="s">
        <v>721</v>
      </c>
      <c r="B54" s="2">
        <v>2000247456</v>
      </c>
    </row>
    <row r="55" ht="14.25" customHeight="1" spans="1:2">
      <c r="A55" s="2" t="s">
        <v>729</v>
      </c>
      <c r="B55" s="2">
        <v>2000247463</v>
      </c>
    </row>
    <row r="56" ht="14.25" customHeight="1" spans="1:2">
      <c r="A56" s="2" t="s">
        <v>733</v>
      </c>
      <c r="B56" s="2">
        <v>2000247465</v>
      </c>
    </row>
    <row r="57" ht="14.25" customHeight="1" spans="1:2">
      <c r="A57" s="2" t="s">
        <v>741</v>
      </c>
      <c r="B57" s="2">
        <v>2000247466</v>
      </c>
    </row>
    <row r="58" ht="14.25" customHeight="1" spans="1:2">
      <c r="A58" s="2" t="s">
        <v>745</v>
      </c>
      <c r="B58" s="2">
        <v>2000247471</v>
      </c>
    </row>
    <row r="59" ht="14.25" customHeight="1" spans="1:2">
      <c r="A59" s="2" t="s">
        <v>753</v>
      </c>
      <c r="B59" s="2">
        <v>2000247473</v>
      </c>
    </row>
    <row r="60" ht="14.25" customHeight="1" spans="1:2">
      <c r="A60" s="2" t="s">
        <v>757</v>
      </c>
      <c r="B60" s="2">
        <v>2000247478</v>
      </c>
    </row>
    <row r="61" ht="14.25" customHeight="1" spans="1:2">
      <c r="A61" s="2" t="s">
        <v>765</v>
      </c>
      <c r="B61" s="2">
        <v>2000247481</v>
      </c>
    </row>
    <row r="62" ht="14.25" customHeight="1" spans="1:2">
      <c r="A62" s="2" t="s">
        <v>772</v>
      </c>
      <c r="B62" s="2">
        <v>2000247483</v>
      </c>
    </row>
    <row r="63" ht="14.25" customHeight="1" spans="1:2">
      <c r="A63" s="2" t="s">
        <v>780</v>
      </c>
      <c r="B63" s="2">
        <v>2000247486</v>
      </c>
    </row>
    <row r="64" ht="14.25" customHeight="1" spans="1:2">
      <c r="A64" s="2" t="s">
        <v>788</v>
      </c>
      <c r="B64" s="2">
        <v>2000247488</v>
      </c>
    </row>
    <row r="65" ht="14.25" customHeight="1" spans="1:2">
      <c r="A65" s="2" t="s">
        <v>792</v>
      </c>
      <c r="B65" s="2">
        <v>2000247490</v>
      </c>
    </row>
    <row r="66" ht="14.25" customHeight="1" spans="1:2">
      <c r="A66" s="2" t="s">
        <v>799</v>
      </c>
      <c r="B66" s="2">
        <v>2000247492</v>
      </c>
    </row>
    <row r="67" ht="14.25" customHeight="1" spans="1:2">
      <c r="A67" s="2" t="s">
        <v>807</v>
      </c>
      <c r="B67" s="2">
        <v>2000247494</v>
      </c>
    </row>
    <row r="68" ht="14.25" customHeight="1" spans="1:2">
      <c r="A68" s="2" t="s">
        <v>815</v>
      </c>
      <c r="B68" s="2">
        <v>2000247496</v>
      </c>
    </row>
    <row r="69" ht="14.25" customHeight="1" spans="1:2">
      <c r="A69" s="2" t="s">
        <v>819</v>
      </c>
      <c r="B69" s="2">
        <v>2000247499</v>
      </c>
    </row>
    <row r="70" ht="14.25" customHeight="1" spans="1:2">
      <c r="A70" s="2" t="s">
        <v>827</v>
      </c>
      <c r="B70" s="2">
        <v>2000247504</v>
      </c>
    </row>
    <row r="71" ht="14.25" customHeight="1" spans="1:2">
      <c r="A71" s="2" t="s">
        <v>831</v>
      </c>
      <c r="B71" s="2">
        <v>2000247505</v>
      </c>
    </row>
    <row r="72" ht="14.25" customHeight="1" spans="1:2">
      <c r="A72" s="2" t="s">
        <v>838</v>
      </c>
      <c r="B72" s="2">
        <v>2000247507</v>
      </c>
    </row>
    <row r="73" ht="14.25" customHeight="1" spans="1:2">
      <c r="A73" s="2" t="s">
        <v>842</v>
      </c>
      <c r="B73" s="2">
        <v>2000247503</v>
      </c>
    </row>
    <row r="74" ht="14.25" customHeight="1" spans="1:2">
      <c r="A74" s="2" t="s">
        <v>852</v>
      </c>
      <c r="B74" s="2">
        <v>2000247501</v>
      </c>
    </row>
    <row r="75" ht="14.25" customHeight="1" spans="1:2">
      <c r="A75" s="2" t="s">
        <v>856</v>
      </c>
      <c r="B75" s="2">
        <v>2000247498</v>
      </c>
    </row>
    <row r="76" ht="14.25" customHeight="1" spans="1:2">
      <c r="A76" s="2" t="s">
        <v>864</v>
      </c>
      <c r="B76" s="2">
        <v>2000247495</v>
      </c>
    </row>
    <row r="77" ht="14.25" customHeight="1" spans="1:4">
      <c r="A77" s="2" t="s">
        <v>871</v>
      </c>
      <c r="B77" s="2">
        <v>2000247493</v>
      </c>
      <c r="D77" s="3"/>
    </row>
    <row r="78" ht="14.25" customHeight="1" spans="1:4">
      <c r="A78" s="2" t="s">
        <v>878</v>
      </c>
      <c r="B78" s="2">
        <v>2000247491</v>
      </c>
      <c r="D78" s="3"/>
    </row>
    <row r="79" ht="14.25" customHeight="1" spans="1:4">
      <c r="A79" s="2" t="s">
        <v>882</v>
      </c>
      <c r="B79" s="2">
        <v>2000247489</v>
      </c>
      <c r="D79" s="3"/>
    </row>
    <row r="80" ht="14.25" customHeight="1" spans="1:4">
      <c r="A80" s="2" t="s">
        <v>890</v>
      </c>
      <c r="B80" s="2">
        <v>2000247487</v>
      </c>
      <c r="D80" s="3"/>
    </row>
    <row r="81" ht="14.25" customHeight="1" spans="1:4">
      <c r="A81" s="2" t="s">
        <v>894</v>
      </c>
      <c r="B81" s="2">
        <v>2000247485</v>
      </c>
      <c r="D81" s="3"/>
    </row>
    <row r="82" ht="14.25" customHeight="1" spans="1:4">
      <c r="A82" s="2" t="s">
        <v>902</v>
      </c>
      <c r="B82" s="2">
        <v>2000247484</v>
      </c>
      <c r="D82" s="3"/>
    </row>
    <row r="83" ht="14.25" customHeight="1" spans="1:4">
      <c r="A83" s="2" t="s">
        <v>909</v>
      </c>
      <c r="B83" s="2">
        <v>2000247482</v>
      </c>
      <c r="D83" s="3"/>
    </row>
    <row r="84" ht="14.25" customHeight="1" spans="1:4">
      <c r="A84" s="2" t="s">
        <v>917</v>
      </c>
      <c r="B84" s="2">
        <v>2000247480</v>
      </c>
      <c r="D84" s="3"/>
    </row>
    <row r="85" ht="14.25" customHeight="1" spans="1:4">
      <c r="A85" s="2" t="s">
        <v>924</v>
      </c>
      <c r="B85" s="2">
        <v>2000247479</v>
      </c>
      <c r="D85" s="3"/>
    </row>
    <row r="86" ht="14.25" customHeight="1" spans="1:4">
      <c r="A86" s="2" t="s">
        <v>932</v>
      </c>
      <c r="B86" s="2">
        <v>2000247477</v>
      </c>
      <c r="D86" s="3"/>
    </row>
    <row r="87" ht="14.25" customHeight="1" spans="1:4">
      <c r="A87" s="2" t="s">
        <v>940</v>
      </c>
      <c r="B87" s="2">
        <v>2000247476</v>
      </c>
      <c r="D87" s="3"/>
    </row>
    <row r="88" ht="14.25" customHeight="1" spans="1:4">
      <c r="A88" s="2" t="s">
        <v>945</v>
      </c>
      <c r="B88" s="2">
        <v>2000247475</v>
      </c>
      <c r="D88" s="3"/>
    </row>
    <row r="89" ht="14.25" customHeight="1" spans="1:4">
      <c r="A89" s="2" t="s">
        <v>953</v>
      </c>
      <c r="B89" s="2">
        <v>2000247474</v>
      </c>
      <c r="D89" s="3"/>
    </row>
    <row r="90" ht="14.25" customHeight="1" spans="1:4">
      <c r="A90" s="2" t="s">
        <v>961</v>
      </c>
      <c r="B90" s="2">
        <v>2000247469</v>
      </c>
      <c r="D90" s="3"/>
    </row>
    <row r="91" ht="14.25" customHeight="1" spans="1:4">
      <c r="A91" s="2" t="s">
        <v>965</v>
      </c>
      <c r="B91" s="2">
        <v>2000247467</v>
      </c>
      <c r="D91" s="3"/>
    </row>
    <row r="92" ht="14.25" customHeight="1" spans="1:4">
      <c r="A92" s="2" t="s">
        <v>969</v>
      </c>
      <c r="B92" s="2">
        <v>2000247464</v>
      </c>
      <c r="D92" s="3"/>
    </row>
    <row r="93" ht="14.25" customHeight="1" spans="1:4">
      <c r="A93" s="2" t="s">
        <v>973</v>
      </c>
      <c r="B93" s="2">
        <v>2000247462</v>
      </c>
      <c r="D93" s="3"/>
    </row>
    <row r="94" ht="14.25" customHeight="1" spans="1:4">
      <c r="A94" s="2" t="s">
        <v>978</v>
      </c>
      <c r="B94" s="2">
        <v>2000247460</v>
      </c>
      <c r="D94" s="3"/>
    </row>
    <row r="95" ht="14.25" customHeight="1" spans="1:4">
      <c r="A95" s="2" t="s">
        <v>986</v>
      </c>
      <c r="B95" s="2">
        <v>2000247459</v>
      </c>
      <c r="D95" s="3"/>
    </row>
    <row r="96" ht="14.25" customHeight="1" spans="1:4">
      <c r="A96" s="2" t="s">
        <v>990</v>
      </c>
      <c r="B96" s="2">
        <v>2000247458</v>
      </c>
      <c r="D96" s="3"/>
    </row>
    <row r="97" ht="14.25" customHeight="1" spans="1:4">
      <c r="A97" s="2" t="s">
        <v>994</v>
      </c>
      <c r="B97" s="2">
        <v>2000247457</v>
      </c>
      <c r="D97" s="3"/>
    </row>
    <row r="98" ht="14.25" customHeight="1" spans="1:4">
      <c r="A98" s="2" t="s">
        <v>998</v>
      </c>
      <c r="B98" s="2">
        <v>2000247452</v>
      </c>
      <c r="D98" s="3"/>
    </row>
    <row r="99" ht="14.25" customHeight="1" spans="1:4">
      <c r="A99" s="2" t="s">
        <v>1005</v>
      </c>
      <c r="B99" s="2">
        <v>2000247450</v>
      </c>
      <c r="D99" s="3"/>
    </row>
    <row r="100" ht="14.25" customHeight="1" spans="1:4">
      <c r="A100" s="2" t="s">
        <v>1009</v>
      </c>
      <c r="B100" s="2">
        <v>2000247448</v>
      </c>
      <c r="D100" s="3"/>
    </row>
    <row r="101" ht="14.25" customHeight="1" spans="1:4">
      <c r="A101" s="2" t="s">
        <v>1013</v>
      </c>
      <c r="B101" s="2">
        <v>2000247436</v>
      </c>
      <c r="D101" s="3"/>
    </row>
    <row r="102" ht="14.25" customHeight="1" spans="1:4">
      <c r="A102" s="2" t="s">
        <v>1017</v>
      </c>
      <c r="B102" s="2">
        <v>2000247433</v>
      </c>
      <c r="D102" s="3"/>
    </row>
    <row r="103" ht="14.25" customHeight="1" spans="1:4">
      <c r="A103" s="2" t="s">
        <v>1021</v>
      </c>
      <c r="B103" s="2">
        <v>2000247432</v>
      </c>
      <c r="D103" s="3"/>
    </row>
    <row r="104" ht="14.25" customHeight="1" spans="1:4">
      <c r="A104" s="2" t="s">
        <v>1029</v>
      </c>
      <c r="B104" s="2">
        <v>2000247431</v>
      </c>
      <c r="D104" s="3"/>
    </row>
    <row r="105" ht="13.5" customHeight="1" spans="1:4">
      <c r="A105" s="2" t="s">
        <v>104</v>
      </c>
      <c r="D105" s="3"/>
    </row>
  </sheetData>
  <autoFilter ref="A1:A105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topLeftCell="A74" workbookViewId="0">
      <selection activeCell="G106" sqref="G106"/>
    </sheetView>
  </sheetViews>
  <sheetFormatPr defaultColWidth="9" defaultRowHeight="15.75" outlineLevelCol="3"/>
  <cols>
    <col min="1" max="1" width="26.125" customWidth="1"/>
    <col min="3" max="3" width="32.125" customWidth="1"/>
  </cols>
  <sheetData>
    <row r="1" spans="1:1">
      <c r="A1" s="1" t="s">
        <v>0</v>
      </c>
    </row>
    <row r="2" spans="1:4">
      <c r="A2" t="s">
        <v>1</v>
      </c>
      <c r="B2" t="str">
        <f>CONCATENATE("update fft_delivery_order set delivery_sn = CONCAT(delivery_sn,'_0929') where delivery_sn = '",A2,"';")</f>
        <v>update fft_delivery_order set delivery_sn = CONCAT(delivery_sn,'_0929') where delivery_sn = 'D20220819195001000494';</v>
      </c>
      <c r="C2" t="str">
        <f>CONCATENATE("update fft_order_express set delivery_sn = CONCAT(delivery_sn,'_0929'),s4_status = 0,dl_status = 0 where delivery_sn = '",A2,"';")</f>
        <v>update fft_order_express set delivery_sn = CONCAT(delivery_sn,'_0929'),s4_status = 0,dl_status = 0 where delivery_sn = 'D20220819195001000494';</v>
      </c>
      <c r="D2" t="str">
        <f>CONCATENATE("update s_order set out_order_sn = CONCAT(out_order_sn,'_0929') where out_order_sn = '",A2,"';")</f>
        <v>update s_order set out_order_sn = CONCAT(out_order_sn,'_0929') where out_order_sn = 'D20220819195001000494';</v>
      </c>
    </row>
    <row r="3" spans="1:4">
      <c r="A3" t="s">
        <v>2</v>
      </c>
      <c r="B3" t="str">
        <f t="shared" ref="B3:B34" si="0">CONCATENATE("update fft_delivery_order set delivery_sn = CONCAT(delivery_sn,'_0929') where delivery_sn = '",A3,"';")</f>
        <v>update fft_delivery_order set delivery_sn = CONCAT(delivery_sn,'_0929') where delivery_sn = 'D20220819195002000496';</v>
      </c>
      <c r="C3" t="str">
        <f t="shared" ref="C3:C34" si="1">CONCATENATE("update fft_order_express set delivery_sn = CONCAT(delivery_sn,'_0929'),s4_status = 0,dl_status = 0 where delivery_sn = '",A3,"';")</f>
        <v>update fft_order_express set delivery_sn = CONCAT(delivery_sn,'_0929'),s4_status = 0,dl_status = 0 where delivery_sn = 'D20220819195002000496';</v>
      </c>
      <c r="D3" t="str">
        <f t="shared" ref="D3:D34" si="2">CONCATENATE("update s_order set out_order_sn = CONCAT(out_order_sn,'_0929') where out_order_sn = '",A3,"';")</f>
        <v>update s_order set out_order_sn = CONCAT(out_order_sn,'_0929') where out_order_sn = 'D20220819195002000496';</v>
      </c>
    </row>
    <row r="4" spans="1:4">
      <c r="A4" t="s">
        <v>3</v>
      </c>
      <c r="B4" t="str">
        <f t="shared" si="0"/>
        <v>update fft_delivery_order set delivery_sn = CONCAT(delivery_sn,'_0929') where delivery_sn = 'D20220819201002000501';</v>
      </c>
      <c r="C4" t="str">
        <f t="shared" si="1"/>
        <v>update fft_order_express set delivery_sn = CONCAT(delivery_sn,'_0929'),s4_status = 0,dl_status = 0 where delivery_sn = 'D20220819201002000501';</v>
      </c>
      <c r="D4" t="str">
        <f t="shared" si="2"/>
        <v>update s_order set out_order_sn = CONCAT(out_order_sn,'_0929') where out_order_sn = 'D20220819201002000501';</v>
      </c>
    </row>
    <row r="5" spans="1:4">
      <c r="A5" t="s">
        <v>4</v>
      </c>
      <c r="B5" t="str">
        <f t="shared" si="0"/>
        <v>update fft_delivery_order set delivery_sn = CONCAT(delivery_sn,'_0929') where delivery_sn = 'D20220819201002000502';</v>
      </c>
      <c r="C5" t="str">
        <f t="shared" si="1"/>
        <v>update fft_order_express set delivery_sn = CONCAT(delivery_sn,'_0929'),s4_status = 0,dl_status = 0 where delivery_sn = 'D20220819201002000502';</v>
      </c>
      <c r="D5" t="str">
        <f t="shared" si="2"/>
        <v>update s_order set out_order_sn = CONCAT(out_order_sn,'_0929') where out_order_sn = 'D20220819201002000502';</v>
      </c>
    </row>
    <row r="6" spans="1:4">
      <c r="A6" t="s">
        <v>5</v>
      </c>
      <c r="B6" t="str">
        <f t="shared" si="0"/>
        <v>update fft_delivery_order set delivery_sn = CONCAT(delivery_sn,'_0929') where delivery_sn = 'D20220819204502000517';</v>
      </c>
      <c r="C6" t="str">
        <f t="shared" si="1"/>
        <v>update fft_order_express set delivery_sn = CONCAT(delivery_sn,'_0929'),s4_status = 0,dl_status = 0 where delivery_sn = 'D20220819204502000517';</v>
      </c>
      <c r="D6" t="str">
        <f t="shared" si="2"/>
        <v>update s_order set out_order_sn = CONCAT(out_order_sn,'_0929') where out_order_sn = 'D20220819204502000517';</v>
      </c>
    </row>
    <row r="7" spans="1:4">
      <c r="A7" t="s">
        <v>6</v>
      </c>
      <c r="B7" t="str">
        <f t="shared" si="0"/>
        <v>update fft_delivery_order set delivery_sn = CONCAT(delivery_sn,'_0929') where delivery_sn = 'D20220819205002000519';</v>
      </c>
      <c r="C7" t="str">
        <f t="shared" si="1"/>
        <v>update fft_order_express set delivery_sn = CONCAT(delivery_sn,'_0929'),s4_status = 0,dl_status = 0 where delivery_sn = 'D20220819205002000519';</v>
      </c>
      <c r="D7" t="str">
        <f t="shared" si="2"/>
        <v>update s_order set out_order_sn = CONCAT(out_order_sn,'_0929') where out_order_sn = 'D20220819205002000519';</v>
      </c>
    </row>
    <row r="8" spans="1:4">
      <c r="A8" t="s">
        <v>7</v>
      </c>
      <c r="B8" t="str">
        <f t="shared" si="0"/>
        <v>update fft_delivery_order set delivery_sn = CONCAT(delivery_sn,'_0929') where delivery_sn = 'D20220819205502000523';</v>
      </c>
      <c r="C8" t="str">
        <f t="shared" si="1"/>
        <v>update fft_order_express set delivery_sn = CONCAT(delivery_sn,'_0929'),s4_status = 0,dl_status = 0 where delivery_sn = 'D20220819205502000523';</v>
      </c>
      <c r="D8" t="str">
        <f t="shared" si="2"/>
        <v>update s_order set out_order_sn = CONCAT(out_order_sn,'_0929') where out_order_sn = 'D20220819205502000523';</v>
      </c>
    </row>
    <row r="9" spans="1:4">
      <c r="A9" t="s">
        <v>8</v>
      </c>
      <c r="B9" t="str">
        <f t="shared" si="0"/>
        <v>update fft_delivery_order set delivery_sn = CONCAT(delivery_sn,'_0929') where delivery_sn = 'D20220819205502000524';</v>
      </c>
      <c r="C9" t="str">
        <f t="shared" si="1"/>
        <v>update fft_order_express set delivery_sn = CONCAT(delivery_sn,'_0929'),s4_status = 0,dl_status = 0 where delivery_sn = 'D20220819205502000524';</v>
      </c>
      <c r="D9" t="str">
        <f t="shared" si="2"/>
        <v>update s_order set out_order_sn = CONCAT(out_order_sn,'_0929') where out_order_sn = 'D20220819205502000524';</v>
      </c>
    </row>
    <row r="10" spans="1:4">
      <c r="A10" t="s">
        <v>9</v>
      </c>
      <c r="B10" t="str">
        <f t="shared" si="0"/>
        <v>update fft_delivery_order set delivery_sn = CONCAT(delivery_sn,'_0929') where delivery_sn = 'D20220819205502000526';</v>
      </c>
      <c r="C10" t="str">
        <f t="shared" si="1"/>
        <v>update fft_order_express set delivery_sn = CONCAT(delivery_sn,'_0929'),s4_status = 0,dl_status = 0 where delivery_sn = 'D20220819205502000526';</v>
      </c>
      <c r="D10" t="str">
        <f t="shared" si="2"/>
        <v>update s_order set out_order_sn = CONCAT(out_order_sn,'_0929') where out_order_sn = 'D20220819205502000526';</v>
      </c>
    </row>
    <row r="11" spans="1:4">
      <c r="A11" t="s">
        <v>10</v>
      </c>
      <c r="B11" t="str">
        <f t="shared" si="0"/>
        <v>update fft_delivery_order set delivery_sn = CONCAT(delivery_sn,'_0929') where delivery_sn = 'D20220819205502000527';</v>
      </c>
      <c r="C11" t="str">
        <f t="shared" si="1"/>
        <v>update fft_order_express set delivery_sn = CONCAT(delivery_sn,'_0929'),s4_status = 0,dl_status = 0 where delivery_sn = 'D20220819205502000527';</v>
      </c>
      <c r="D11" t="str">
        <f t="shared" si="2"/>
        <v>update s_order set out_order_sn = CONCAT(out_order_sn,'_0929') where out_order_sn = 'D20220819205502000527';</v>
      </c>
    </row>
    <row r="12" spans="1:4">
      <c r="A12" t="s">
        <v>11</v>
      </c>
      <c r="B12" t="str">
        <f t="shared" si="0"/>
        <v>update fft_delivery_order set delivery_sn = CONCAT(delivery_sn,'_0929') where delivery_sn = 'D20220819205502000528';</v>
      </c>
      <c r="C12" t="str">
        <f t="shared" si="1"/>
        <v>update fft_order_express set delivery_sn = CONCAT(delivery_sn,'_0929'),s4_status = 0,dl_status = 0 where delivery_sn = 'D20220819205502000528';</v>
      </c>
      <c r="D12" t="str">
        <f t="shared" si="2"/>
        <v>update s_order set out_order_sn = CONCAT(out_order_sn,'_0929') where out_order_sn = 'D20220819205502000528';</v>
      </c>
    </row>
    <row r="13" spans="1:4">
      <c r="A13" t="s">
        <v>12</v>
      </c>
      <c r="B13" t="str">
        <f t="shared" si="0"/>
        <v>update fft_delivery_order set delivery_sn = CONCAT(delivery_sn,'_0929') where delivery_sn = 'D20220819205502000529';</v>
      </c>
      <c r="C13" t="str">
        <f t="shared" si="1"/>
        <v>update fft_order_express set delivery_sn = CONCAT(delivery_sn,'_0929'),s4_status = 0,dl_status = 0 where delivery_sn = 'D20220819205502000529';</v>
      </c>
      <c r="D13" t="str">
        <f t="shared" si="2"/>
        <v>update s_order set out_order_sn = CONCAT(out_order_sn,'_0929') where out_order_sn = 'D20220819205502000529';</v>
      </c>
    </row>
    <row r="14" spans="1:4">
      <c r="A14" t="s">
        <v>13</v>
      </c>
      <c r="B14" t="str">
        <f t="shared" si="0"/>
        <v>update fft_delivery_order set delivery_sn = CONCAT(delivery_sn,'_0929') where delivery_sn = 'D20220819210003000536';</v>
      </c>
      <c r="C14" t="str">
        <f t="shared" si="1"/>
        <v>update fft_order_express set delivery_sn = CONCAT(delivery_sn,'_0929'),s4_status = 0,dl_status = 0 where delivery_sn = 'D20220819210003000536';</v>
      </c>
      <c r="D14" t="str">
        <f t="shared" si="2"/>
        <v>update s_order set out_order_sn = CONCAT(out_order_sn,'_0929') where out_order_sn = 'D20220819210003000536';</v>
      </c>
    </row>
    <row r="15" spans="1:4">
      <c r="A15" t="s">
        <v>14</v>
      </c>
      <c r="B15" t="str">
        <f t="shared" si="0"/>
        <v>update fft_delivery_order set delivery_sn = CONCAT(delivery_sn,'_0929') where delivery_sn = 'D20220819210003000537';</v>
      </c>
      <c r="C15" t="str">
        <f t="shared" si="1"/>
        <v>update fft_order_express set delivery_sn = CONCAT(delivery_sn,'_0929'),s4_status = 0,dl_status = 0 where delivery_sn = 'D20220819210003000537';</v>
      </c>
      <c r="D15" t="str">
        <f t="shared" si="2"/>
        <v>update s_order set out_order_sn = CONCAT(out_order_sn,'_0929') where out_order_sn = 'D20220819210003000537';</v>
      </c>
    </row>
    <row r="16" spans="1:4">
      <c r="A16" t="s">
        <v>15</v>
      </c>
      <c r="B16" t="str">
        <f t="shared" si="0"/>
        <v>update fft_delivery_order set delivery_sn = CONCAT(delivery_sn,'_0929') where delivery_sn = 'D20220819212002000546';</v>
      </c>
      <c r="C16" t="str">
        <f t="shared" si="1"/>
        <v>update fft_order_express set delivery_sn = CONCAT(delivery_sn,'_0929'),s4_status = 0,dl_status = 0 where delivery_sn = 'D20220819212002000546';</v>
      </c>
      <c r="D16" t="str">
        <f t="shared" si="2"/>
        <v>update s_order set out_order_sn = CONCAT(out_order_sn,'_0929') where out_order_sn = 'D20220819212002000546';</v>
      </c>
    </row>
    <row r="17" spans="1:4">
      <c r="A17" t="s">
        <v>16</v>
      </c>
      <c r="B17" t="str">
        <f t="shared" si="0"/>
        <v>update fft_delivery_order set delivery_sn = CONCAT(delivery_sn,'_0929') where delivery_sn = 'D20220819212002000547';</v>
      </c>
      <c r="C17" t="str">
        <f t="shared" si="1"/>
        <v>update fft_order_express set delivery_sn = CONCAT(delivery_sn,'_0929'),s4_status = 0,dl_status = 0 where delivery_sn = 'D20220819212002000547';</v>
      </c>
      <c r="D17" t="str">
        <f t="shared" si="2"/>
        <v>update s_order set out_order_sn = CONCAT(out_order_sn,'_0929') where out_order_sn = 'D20220819212002000547';</v>
      </c>
    </row>
    <row r="18" spans="1:4">
      <c r="A18" t="s">
        <v>17</v>
      </c>
      <c r="B18" t="str">
        <f t="shared" si="0"/>
        <v>update fft_delivery_order set delivery_sn = CONCAT(delivery_sn,'_0929') where delivery_sn = 'D20220819212002000548';</v>
      </c>
      <c r="C18" t="str">
        <f t="shared" si="1"/>
        <v>update fft_order_express set delivery_sn = CONCAT(delivery_sn,'_0929'),s4_status = 0,dl_status = 0 where delivery_sn = 'D20220819212002000548';</v>
      </c>
      <c r="D18" t="str">
        <f t="shared" si="2"/>
        <v>update s_order set out_order_sn = CONCAT(out_order_sn,'_0929') where out_order_sn = 'D20220819212002000548';</v>
      </c>
    </row>
    <row r="19" spans="1:4">
      <c r="A19" t="s">
        <v>18</v>
      </c>
      <c r="B19" t="str">
        <f t="shared" si="0"/>
        <v>update fft_delivery_order set delivery_sn = CONCAT(delivery_sn,'_0929') where delivery_sn = 'D20220819212502000554';</v>
      </c>
      <c r="C19" t="str">
        <f t="shared" si="1"/>
        <v>update fft_order_express set delivery_sn = CONCAT(delivery_sn,'_0929'),s4_status = 0,dl_status = 0 where delivery_sn = 'D20220819212502000554';</v>
      </c>
      <c r="D19" t="str">
        <f t="shared" si="2"/>
        <v>update s_order set out_order_sn = CONCAT(out_order_sn,'_0929') where out_order_sn = 'D20220819212502000554';</v>
      </c>
    </row>
    <row r="20" spans="1:4">
      <c r="A20" t="s">
        <v>19</v>
      </c>
      <c r="B20" t="str">
        <f t="shared" si="0"/>
        <v>update fft_delivery_order set delivery_sn = CONCAT(delivery_sn,'_0929') where delivery_sn = 'D20220819213002000563';</v>
      </c>
      <c r="C20" t="str">
        <f t="shared" si="1"/>
        <v>update fft_order_express set delivery_sn = CONCAT(delivery_sn,'_0929'),s4_status = 0,dl_status = 0 where delivery_sn = 'D20220819213002000563';</v>
      </c>
      <c r="D20" t="str">
        <f t="shared" si="2"/>
        <v>update s_order set out_order_sn = CONCAT(out_order_sn,'_0929') where out_order_sn = 'D20220819213002000563';</v>
      </c>
    </row>
    <row r="21" spans="1:4">
      <c r="A21" t="s">
        <v>20</v>
      </c>
      <c r="B21" t="str">
        <f t="shared" si="0"/>
        <v>update fft_delivery_order set delivery_sn = CONCAT(delivery_sn,'_0929') where delivery_sn = 'D20220819213002000566';</v>
      </c>
      <c r="C21" t="str">
        <f t="shared" si="1"/>
        <v>update fft_order_express set delivery_sn = CONCAT(delivery_sn,'_0929'),s4_status = 0,dl_status = 0 where delivery_sn = 'D20220819213002000566';</v>
      </c>
      <c r="D21" t="str">
        <f t="shared" si="2"/>
        <v>update s_order set out_order_sn = CONCAT(out_order_sn,'_0929') where out_order_sn = 'D20220819213002000566';</v>
      </c>
    </row>
    <row r="22" spans="1:4">
      <c r="A22" t="s">
        <v>21</v>
      </c>
      <c r="B22" t="str">
        <f t="shared" si="0"/>
        <v>update fft_delivery_order set delivery_sn = CONCAT(delivery_sn,'_0929') where delivery_sn = 'D20220819213502000574';</v>
      </c>
      <c r="C22" t="str">
        <f t="shared" si="1"/>
        <v>update fft_order_express set delivery_sn = CONCAT(delivery_sn,'_0929'),s4_status = 0,dl_status = 0 where delivery_sn = 'D20220819213502000574';</v>
      </c>
      <c r="D22" t="str">
        <f t="shared" si="2"/>
        <v>update s_order set out_order_sn = CONCAT(out_order_sn,'_0929') where out_order_sn = 'D20220819213502000574';</v>
      </c>
    </row>
    <row r="23" spans="1:4">
      <c r="A23" t="s">
        <v>22</v>
      </c>
      <c r="B23" t="str">
        <f t="shared" si="0"/>
        <v>update fft_delivery_order set delivery_sn = CONCAT(delivery_sn,'_0929') where delivery_sn = 'D20220819214001000580';</v>
      </c>
      <c r="C23" t="str">
        <f t="shared" si="1"/>
        <v>update fft_order_express set delivery_sn = CONCAT(delivery_sn,'_0929'),s4_status = 0,dl_status = 0 where delivery_sn = 'D20220819214001000580';</v>
      </c>
      <c r="D23" t="str">
        <f t="shared" si="2"/>
        <v>update s_order set out_order_sn = CONCAT(out_order_sn,'_0929') where out_order_sn = 'D20220819214001000580';</v>
      </c>
    </row>
    <row r="24" spans="1:4">
      <c r="A24" t="s">
        <v>23</v>
      </c>
      <c r="B24" t="str">
        <f t="shared" si="0"/>
        <v>update fft_delivery_order set delivery_sn = CONCAT(delivery_sn,'_0929') where delivery_sn = 'D20220819214001000583';</v>
      </c>
      <c r="C24" t="str">
        <f t="shared" si="1"/>
        <v>update fft_order_express set delivery_sn = CONCAT(delivery_sn,'_0929'),s4_status = 0,dl_status = 0 where delivery_sn = 'D20220819214001000583';</v>
      </c>
      <c r="D24" t="str">
        <f t="shared" si="2"/>
        <v>update s_order set out_order_sn = CONCAT(out_order_sn,'_0929') where out_order_sn = 'D20220819214001000583';</v>
      </c>
    </row>
    <row r="25" spans="1:4">
      <c r="A25" t="s">
        <v>24</v>
      </c>
      <c r="B25" t="str">
        <f t="shared" si="0"/>
        <v>update fft_delivery_order set delivery_sn = CONCAT(delivery_sn,'_0929') where delivery_sn = 'D20220819214001000584';</v>
      </c>
      <c r="C25" t="str">
        <f t="shared" si="1"/>
        <v>update fft_order_express set delivery_sn = CONCAT(delivery_sn,'_0929'),s4_status = 0,dl_status = 0 where delivery_sn = 'D20220819214001000584';</v>
      </c>
      <c r="D25" t="str">
        <f t="shared" si="2"/>
        <v>update s_order set out_order_sn = CONCAT(out_order_sn,'_0929') where out_order_sn = 'D20220819214001000584';</v>
      </c>
    </row>
    <row r="26" spans="1:4">
      <c r="A26" t="s">
        <v>25</v>
      </c>
      <c r="B26" t="str">
        <f t="shared" si="0"/>
        <v>update fft_delivery_order set delivery_sn = CONCAT(delivery_sn,'_0929') where delivery_sn = 'D20220819214502000586';</v>
      </c>
      <c r="C26" t="str">
        <f t="shared" si="1"/>
        <v>update fft_order_express set delivery_sn = CONCAT(delivery_sn,'_0929'),s4_status = 0,dl_status = 0 where delivery_sn = 'D20220819214502000586';</v>
      </c>
      <c r="D26" t="str">
        <f t="shared" si="2"/>
        <v>update s_order set out_order_sn = CONCAT(out_order_sn,'_0929') where out_order_sn = 'D20220819214502000586';</v>
      </c>
    </row>
    <row r="27" spans="1:4">
      <c r="A27" t="s">
        <v>26</v>
      </c>
      <c r="B27" t="str">
        <f t="shared" si="0"/>
        <v>update fft_delivery_order set delivery_sn = CONCAT(delivery_sn,'_0929') where delivery_sn = 'D20220819214502000587';</v>
      </c>
      <c r="C27" t="str">
        <f t="shared" si="1"/>
        <v>update fft_order_express set delivery_sn = CONCAT(delivery_sn,'_0929'),s4_status = 0,dl_status = 0 where delivery_sn = 'D20220819214502000587';</v>
      </c>
      <c r="D27" t="str">
        <f t="shared" si="2"/>
        <v>update s_order set out_order_sn = CONCAT(out_order_sn,'_0929') where out_order_sn = 'D20220819214502000587';</v>
      </c>
    </row>
    <row r="28" spans="1:4">
      <c r="A28" t="s">
        <v>27</v>
      </c>
      <c r="B28" t="str">
        <f t="shared" si="0"/>
        <v>update fft_delivery_order set delivery_sn = CONCAT(delivery_sn,'_0929') where delivery_sn = 'D20220819214502000589';</v>
      </c>
      <c r="C28" t="str">
        <f t="shared" si="1"/>
        <v>update fft_order_express set delivery_sn = CONCAT(delivery_sn,'_0929'),s4_status = 0,dl_status = 0 where delivery_sn = 'D20220819214502000589';</v>
      </c>
      <c r="D28" t="str">
        <f t="shared" si="2"/>
        <v>update s_order set out_order_sn = CONCAT(out_order_sn,'_0929') where out_order_sn = 'D20220819214502000589';</v>
      </c>
    </row>
    <row r="29" spans="1:4">
      <c r="A29" t="s">
        <v>28</v>
      </c>
      <c r="B29" t="str">
        <f t="shared" si="0"/>
        <v>update fft_delivery_order set delivery_sn = CONCAT(delivery_sn,'_0929') where delivery_sn = 'D20220819222002000613';</v>
      </c>
      <c r="C29" t="str">
        <f t="shared" si="1"/>
        <v>update fft_order_express set delivery_sn = CONCAT(delivery_sn,'_0929'),s4_status = 0,dl_status = 0 where delivery_sn = 'D20220819222002000613';</v>
      </c>
      <c r="D29" t="str">
        <f t="shared" si="2"/>
        <v>update s_order set out_order_sn = CONCAT(out_order_sn,'_0929') where out_order_sn = 'D20220819222002000613';</v>
      </c>
    </row>
    <row r="30" spans="1:4">
      <c r="A30" t="s">
        <v>29</v>
      </c>
      <c r="B30" t="str">
        <f t="shared" si="0"/>
        <v>update fft_delivery_order set delivery_sn = CONCAT(delivery_sn,'_0929') where delivery_sn = 'D20220819222501000615';</v>
      </c>
      <c r="C30" t="str">
        <f t="shared" si="1"/>
        <v>update fft_order_express set delivery_sn = CONCAT(delivery_sn,'_0929'),s4_status = 0,dl_status = 0 where delivery_sn = 'D20220819222501000615';</v>
      </c>
      <c r="D30" t="str">
        <f t="shared" si="2"/>
        <v>update s_order set out_order_sn = CONCAT(out_order_sn,'_0929') where out_order_sn = 'D20220819222501000615';</v>
      </c>
    </row>
    <row r="31" spans="1:4">
      <c r="A31" t="s">
        <v>30</v>
      </c>
      <c r="B31" t="str">
        <f t="shared" si="0"/>
        <v>update fft_delivery_order set delivery_sn = CONCAT(delivery_sn,'_0929') where delivery_sn = 'D20220819225002000639';</v>
      </c>
      <c r="C31" t="str">
        <f t="shared" si="1"/>
        <v>update fft_order_express set delivery_sn = CONCAT(delivery_sn,'_0929'),s4_status = 0,dl_status = 0 where delivery_sn = 'D20220819225002000639';</v>
      </c>
      <c r="D31" t="str">
        <f t="shared" si="2"/>
        <v>update s_order set out_order_sn = CONCAT(out_order_sn,'_0929') where out_order_sn = 'D20220819225002000639';</v>
      </c>
    </row>
    <row r="32" spans="1:4">
      <c r="A32" t="s">
        <v>31</v>
      </c>
      <c r="B32" t="str">
        <f t="shared" si="0"/>
        <v>update fft_delivery_order set delivery_sn = CONCAT(delivery_sn,'_0929') where delivery_sn = 'D20220819230003000646';</v>
      </c>
      <c r="C32" t="str">
        <f t="shared" si="1"/>
        <v>update fft_order_express set delivery_sn = CONCAT(delivery_sn,'_0929'),s4_status = 0,dl_status = 0 where delivery_sn = 'D20220819230003000646';</v>
      </c>
      <c r="D32" t="str">
        <f t="shared" si="2"/>
        <v>update s_order set out_order_sn = CONCAT(out_order_sn,'_0929') where out_order_sn = 'D20220819230003000646';</v>
      </c>
    </row>
    <row r="33" spans="1:4">
      <c r="A33" t="s">
        <v>32</v>
      </c>
      <c r="B33" t="str">
        <f t="shared" si="0"/>
        <v>update fft_delivery_order set delivery_sn = CONCAT(delivery_sn,'_0929') where delivery_sn = 'D20220820004502000019';</v>
      </c>
      <c r="C33" t="str">
        <f t="shared" si="1"/>
        <v>update fft_order_express set delivery_sn = CONCAT(delivery_sn,'_0929'),s4_status = 0,dl_status = 0 where delivery_sn = 'D20220820004502000019';</v>
      </c>
      <c r="D33" t="str">
        <f t="shared" si="2"/>
        <v>update s_order set out_order_sn = CONCAT(out_order_sn,'_0929') where out_order_sn = 'D20220820004502000019';</v>
      </c>
    </row>
    <row r="34" spans="1:4">
      <c r="A34" t="s">
        <v>33</v>
      </c>
      <c r="B34" t="str">
        <f t="shared" si="0"/>
        <v>update fft_delivery_order set delivery_sn = CONCAT(delivery_sn,'_0929') where delivery_sn = 'D20220820004502000020';</v>
      </c>
      <c r="C34" t="str">
        <f t="shared" si="1"/>
        <v>update fft_order_express set delivery_sn = CONCAT(delivery_sn,'_0929'),s4_status = 0,dl_status = 0 where delivery_sn = 'D20220820004502000020';</v>
      </c>
      <c r="D34" t="str">
        <f t="shared" si="2"/>
        <v>update s_order set out_order_sn = CONCAT(out_order_sn,'_0929') where out_order_sn = 'D20220820004502000020';</v>
      </c>
    </row>
    <row r="35" spans="1:4">
      <c r="A35" t="s">
        <v>34</v>
      </c>
      <c r="B35" t="str">
        <f t="shared" ref="B35:B66" si="3">CONCATENATE("update fft_delivery_order set delivery_sn = CONCAT(delivery_sn,'_0929') where delivery_sn = '",A35,"';")</f>
        <v>update fft_delivery_order set delivery_sn = CONCAT(delivery_sn,'_0929') where delivery_sn = 'D20220820005501000022';</v>
      </c>
      <c r="C35" t="str">
        <f t="shared" ref="C35:C66" si="4">CONCATENATE("update fft_order_express set delivery_sn = CONCAT(delivery_sn,'_0929'),s4_status = 0,dl_status = 0 where delivery_sn = '",A35,"';")</f>
        <v>update fft_order_express set delivery_sn = CONCAT(delivery_sn,'_0929'),s4_status = 0,dl_status = 0 where delivery_sn = 'D20220820005501000022';</v>
      </c>
      <c r="D35" t="str">
        <f t="shared" ref="D35:D66" si="5">CONCATENATE("update s_order set out_order_sn = CONCAT(out_order_sn,'_0929') where out_order_sn = '",A35,"';")</f>
        <v>update s_order set out_order_sn = CONCAT(out_order_sn,'_0929') where out_order_sn = 'D20220820005501000022';</v>
      </c>
    </row>
    <row r="36" spans="1:4">
      <c r="A36" t="s">
        <v>35</v>
      </c>
      <c r="B36" t="str">
        <f t="shared" si="3"/>
        <v>update fft_delivery_order set delivery_sn = CONCAT(delivery_sn,'_0929') where delivery_sn = 'D20220820010002000026';</v>
      </c>
      <c r="C36" t="str">
        <f t="shared" si="4"/>
        <v>update fft_order_express set delivery_sn = CONCAT(delivery_sn,'_0929'),s4_status = 0,dl_status = 0 where delivery_sn = 'D20220820010002000026';</v>
      </c>
      <c r="D36" t="str">
        <f t="shared" si="5"/>
        <v>update s_order set out_order_sn = CONCAT(out_order_sn,'_0929') where out_order_sn = 'D20220820010002000026';</v>
      </c>
    </row>
    <row r="37" spans="1:4">
      <c r="A37" t="s">
        <v>36</v>
      </c>
      <c r="B37" t="str">
        <f t="shared" si="3"/>
        <v>update fft_delivery_order set delivery_sn = CONCAT(delivery_sn,'_0929') where delivery_sn = 'D20220820101002000100';</v>
      </c>
      <c r="C37" t="str">
        <f t="shared" si="4"/>
        <v>update fft_order_express set delivery_sn = CONCAT(delivery_sn,'_0929'),s4_status = 0,dl_status = 0 where delivery_sn = 'D20220820101002000100';</v>
      </c>
      <c r="D37" t="str">
        <f t="shared" si="5"/>
        <v>update s_order set out_order_sn = CONCAT(out_order_sn,'_0929') where out_order_sn = 'D20220820101002000100';</v>
      </c>
    </row>
    <row r="38" spans="1:4">
      <c r="A38" t="s">
        <v>37</v>
      </c>
      <c r="B38" t="str">
        <f t="shared" si="3"/>
        <v>update fft_delivery_order set delivery_sn = CONCAT(delivery_sn,'_0929') where delivery_sn = 'D20220820105002000140';</v>
      </c>
      <c r="C38" t="str">
        <f t="shared" si="4"/>
        <v>update fft_order_express set delivery_sn = CONCAT(delivery_sn,'_0929'),s4_status = 0,dl_status = 0 where delivery_sn = 'D20220820105002000140';</v>
      </c>
      <c r="D38" t="str">
        <f t="shared" si="5"/>
        <v>update s_order set out_order_sn = CONCAT(out_order_sn,'_0929') where out_order_sn = 'D20220820105002000140';</v>
      </c>
    </row>
    <row r="39" spans="1:4">
      <c r="A39" t="s">
        <v>38</v>
      </c>
      <c r="B39" t="str">
        <f t="shared" si="3"/>
        <v>update fft_delivery_order set delivery_sn = CONCAT(delivery_sn,'_0929') where delivery_sn = 'D20220820105002000141';</v>
      </c>
      <c r="C39" t="str">
        <f t="shared" si="4"/>
        <v>update fft_order_express set delivery_sn = CONCAT(delivery_sn,'_0929'),s4_status = 0,dl_status = 0 where delivery_sn = 'D20220820105002000141';</v>
      </c>
      <c r="D39" t="str">
        <f t="shared" si="5"/>
        <v>update s_order set out_order_sn = CONCAT(out_order_sn,'_0929') where out_order_sn = 'D20220820105002000141';</v>
      </c>
    </row>
    <row r="40" spans="1:4">
      <c r="A40" t="s">
        <v>39</v>
      </c>
      <c r="B40" t="str">
        <f t="shared" si="3"/>
        <v>update fft_delivery_order set delivery_sn = CONCAT(delivery_sn,'_0929') where delivery_sn = 'D20220820110502000155';</v>
      </c>
      <c r="C40" t="str">
        <f t="shared" si="4"/>
        <v>update fft_order_express set delivery_sn = CONCAT(delivery_sn,'_0929'),s4_status = 0,dl_status = 0 where delivery_sn = 'D20220820110502000155';</v>
      </c>
      <c r="D40" t="str">
        <f t="shared" si="5"/>
        <v>update s_order set out_order_sn = CONCAT(out_order_sn,'_0929') where out_order_sn = 'D20220820110502000155';</v>
      </c>
    </row>
    <row r="41" spans="1:4">
      <c r="A41" t="s">
        <v>40</v>
      </c>
      <c r="B41" t="str">
        <f t="shared" si="3"/>
        <v>update fft_delivery_order set delivery_sn = CONCAT(delivery_sn,'_0929') where delivery_sn = 'D20220820111001000157';</v>
      </c>
      <c r="C41" t="str">
        <f t="shared" si="4"/>
        <v>update fft_order_express set delivery_sn = CONCAT(delivery_sn,'_0929'),s4_status = 0,dl_status = 0 where delivery_sn = 'D20220820111001000157';</v>
      </c>
      <c r="D41" t="str">
        <f t="shared" si="5"/>
        <v>update s_order set out_order_sn = CONCAT(out_order_sn,'_0929') where out_order_sn = 'D20220820111001000157';</v>
      </c>
    </row>
    <row r="42" spans="1:4">
      <c r="A42" t="s">
        <v>41</v>
      </c>
      <c r="B42" t="str">
        <f t="shared" si="3"/>
        <v>update fft_delivery_order set delivery_sn = CONCAT(delivery_sn,'_0929') where delivery_sn = 'D20220820120502000210';</v>
      </c>
      <c r="C42" t="str">
        <f t="shared" si="4"/>
        <v>update fft_order_express set delivery_sn = CONCAT(delivery_sn,'_0929'),s4_status = 0,dl_status = 0 where delivery_sn = 'D20220820120502000210';</v>
      </c>
      <c r="D42" t="str">
        <f t="shared" si="5"/>
        <v>update s_order set out_order_sn = CONCAT(out_order_sn,'_0929') where out_order_sn = 'D20220820120502000210';</v>
      </c>
    </row>
    <row r="43" spans="1:4">
      <c r="A43" t="s">
        <v>42</v>
      </c>
      <c r="B43" t="str">
        <f t="shared" si="3"/>
        <v>update fft_delivery_order set delivery_sn = CONCAT(delivery_sn,'_0929') where delivery_sn = 'D20220820120502000212';</v>
      </c>
      <c r="C43" t="str">
        <f t="shared" si="4"/>
        <v>update fft_order_express set delivery_sn = CONCAT(delivery_sn,'_0929'),s4_status = 0,dl_status = 0 where delivery_sn = 'D20220820120502000212';</v>
      </c>
      <c r="D43" t="str">
        <f t="shared" si="5"/>
        <v>update s_order set out_order_sn = CONCAT(out_order_sn,'_0929') where out_order_sn = 'D20220820120502000212';</v>
      </c>
    </row>
    <row r="44" spans="1:4">
      <c r="A44" t="s">
        <v>43</v>
      </c>
      <c r="B44" t="str">
        <f t="shared" si="3"/>
        <v>update fft_delivery_order set delivery_sn = CONCAT(delivery_sn,'_0929') where delivery_sn = 'D20220820134501000258';</v>
      </c>
      <c r="C44" t="str">
        <f t="shared" si="4"/>
        <v>update fft_order_express set delivery_sn = CONCAT(delivery_sn,'_0929'),s4_status = 0,dl_status = 0 where delivery_sn = 'D20220820134501000258';</v>
      </c>
      <c r="D44" t="str">
        <f t="shared" si="5"/>
        <v>update s_order set out_order_sn = CONCAT(out_order_sn,'_0929') where out_order_sn = 'D20220820134501000258';</v>
      </c>
    </row>
    <row r="45" spans="1:4">
      <c r="A45" t="s">
        <v>44</v>
      </c>
      <c r="B45" t="str">
        <f t="shared" si="3"/>
        <v>update fft_delivery_order set delivery_sn = CONCAT(delivery_sn,'_0929') where delivery_sn = 'D20220820134501000259';</v>
      </c>
      <c r="C45" t="str">
        <f t="shared" si="4"/>
        <v>update fft_order_express set delivery_sn = CONCAT(delivery_sn,'_0929'),s4_status = 0,dl_status = 0 where delivery_sn = 'D20220820134501000259';</v>
      </c>
      <c r="D45" t="str">
        <f t="shared" si="5"/>
        <v>update s_order set out_order_sn = CONCAT(out_order_sn,'_0929') where out_order_sn = 'D20220820134501000259';</v>
      </c>
    </row>
    <row r="46" spans="1:4">
      <c r="A46" t="s">
        <v>45</v>
      </c>
      <c r="B46" t="str">
        <f t="shared" si="3"/>
        <v>update fft_delivery_order set delivery_sn = CONCAT(delivery_sn,'_0929') where delivery_sn = 'D20220820150002000290';</v>
      </c>
      <c r="C46" t="str">
        <f t="shared" si="4"/>
        <v>update fft_order_express set delivery_sn = CONCAT(delivery_sn,'_0929'),s4_status = 0,dl_status = 0 where delivery_sn = 'D20220820150002000290';</v>
      </c>
      <c r="D46" t="str">
        <f t="shared" si="5"/>
        <v>update s_order set out_order_sn = CONCAT(out_order_sn,'_0929') where out_order_sn = 'D20220820150002000290';</v>
      </c>
    </row>
    <row r="47" spans="1:4">
      <c r="A47" t="s">
        <v>46</v>
      </c>
      <c r="B47" t="str">
        <f t="shared" si="3"/>
        <v>update fft_delivery_order set delivery_sn = CONCAT(delivery_sn,'_0929') where delivery_sn = 'D20220820150002000291';</v>
      </c>
      <c r="C47" t="str">
        <f t="shared" si="4"/>
        <v>update fft_order_express set delivery_sn = CONCAT(delivery_sn,'_0929'),s4_status = 0,dl_status = 0 where delivery_sn = 'D20220820150002000291';</v>
      </c>
      <c r="D47" t="str">
        <f t="shared" si="5"/>
        <v>update s_order set out_order_sn = CONCAT(out_order_sn,'_0929') where out_order_sn = 'D20220820150002000291';</v>
      </c>
    </row>
    <row r="48" spans="1:4">
      <c r="A48" t="s">
        <v>47</v>
      </c>
      <c r="B48" t="str">
        <f t="shared" si="3"/>
        <v>update fft_delivery_order set delivery_sn = CONCAT(delivery_sn,'_0929') where delivery_sn = 'D20220820155002000322';</v>
      </c>
      <c r="C48" t="str">
        <f t="shared" si="4"/>
        <v>update fft_order_express set delivery_sn = CONCAT(delivery_sn,'_0929'),s4_status = 0,dl_status = 0 where delivery_sn = 'D20220820155002000322';</v>
      </c>
      <c r="D48" t="str">
        <f t="shared" si="5"/>
        <v>update s_order set out_order_sn = CONCAT(out_order_sn,'_0929') where out_order_sn = 'D20220820155002000322';</v>
      </c>
    </row>
    <row r="49" spans="1:4">
      <c r="A49" t="s">
        <v>48</v>
      </c>
      <c r="B49" t="str">
        <f t="shared" si="3"/>
        <v>update fft_delivery_order set delivery_sn = CONCAT(delivery_sn,'_0929') where delivery_sn = 'D20220820155002000324';</v>
      </c>
      <c r="C49" t="str">
        <f t="shared" si="4"/>
        <v>update fft_order_express set delivery_sn = CONCAT(delivery_sn,'_0929'),s4_status = 0,dl_status = 0 where delivery_sn = 'D20220820155002000324';</v>
      </c>
      <c r="D49" t="str">
        <f t="shared" si="5"/>
        <v>update s_order set out_order_sn = CONCAT(out_order_sn,'_0929') where out_order_sn = 'D20220820155002000324';</v>
      </c>
    </row>
    <row r="50" spans="1:4">
      <c r="A50" t="s">
        <v>49</v>
      </c>
      <c r="B50" t="str">
        <f t="shared" si="3"/>
        <v>update fft_delivery_order set delivery_sn = CONCAT(delivery_sn,'_0929') where delivery_sn = 'D20220821052002000037';</v>
      </c>
      <c r="C50" t="str">
        <f t="shared" si="4"/>
        <v>update fft_order_express set delivery_sn = CONCAT(delivery_sn,'_0929'),s4_status = 0,dl_status = 0 where delivery_sn = 'D20220821052002000037';</v>
      </c>
      <c r="D50" t="str">
        <f t="shared" si="5"/>
        <v>update s_order set out_order_sn = CONCAT(out_order_sn,'_0929') where out_order_sn = 'D20220821052002000037';</v>
      </c>
    </row>
    <row r="51" spans="1:4">
      <c r="A51" t="s">
        <v>50</v>
      </c>
      <c r="B51" t="str">
        <f t="shared" si="3"/>
        <v>update fft_delivery_order set delivery_sn = CONCAT(delivery_sn,'_0929') where delivery_sn = 'D20220821052502000038';</v>
      </c>
      <c r="C51" t="str">
        <f t="shared" si="4"/>
        <v>update fft_order_express set delivery_sn = CONCAT(delivery_sn,'_0929'),s4_status = 0,dl_status = 0 where delivery_sn = 'D20220821052502000038';</v>
      </c>
      <c r="D51" t="str">
        <f t="shared" si="5"/>
        <v>update s_order set out_order_sn = CONCAT(out_order_sn,'_0929') where out_order_sn = 'D20220821052502000038';</v>
      </c>
    </row>
    <row r="52" spans="1:4">
      <c r="A52" t="s">
        <v>51</v>
      </c>
      <c r="B52" t="str">
        <f t="shared" si="3"/>
        <v>update fft_delivery_order set delivery_sn = CONCAT(delivery_sn,'_0929') where delivery_sn = 'D20220821110002000105';</v>
      </c>
      <c r="C52" t="str">
        <f t="shared" si="4"/>
        <v>update fft_order_express set delivery_sn = CONCAT(delivery_sn,'_0929'),s4_status = 0,dl_status = 0 where delivery_sn = 'D20220821110002000105';</v>
      </c>
      <c r="D52" t="str">
        <f t="shared" si="5"/>
        <v>update s_order set out_order_sn = CONCAT(out_order_sn,'_0929') where out_order_sn = 'D20220821110002000105';</v>
      </c>
    </row>
    <row r="53" spans="1:4">
      <c r="A53" t="s">
        <v>52</v>
      </c>
      <c r="B53" t="str">
        <f t="shared" si="3"/>
        <v>update fft_delivery_order set delivery_sn = CONCAT(delivery_sn,'_0929') where delivery_sn = 'D20220821124501000162';</v>
      </c>
      <c r="C53" t="str">
        <f t="shared" si="4"/>
        <v>update fft_order_express set delivery_sn = CONCAT(delivery_sn,'_0929'),s4_status = 0,dl_status = 0 where delivery_sn = 'D20220821124501000162';</v>
      </c>
      <c r="D53" t="str">
        <f t="shared" si="5"/>
        <v>update s_order set out_order_sn = CONCAT(out_order_sn,'_0929') where out_order_sn = 'D20220821124501000162';</v>
      </c>
    </row>
    <row r="54" spans="1:4">
      <c r="A54" t="s">
        <v>53</v>
      </c>
      <c r="B54" t="str">
        <f t="shared" si="3"/>
        <v>update fft_delivery_order set delivery_sn = CONCAT(delivery_sn,'_0929') where delivery_sn = 'D20220821124501000164';</v>
      </c>
      <c r="C54" t="str">
        <f t="shared" si="4"/>
        <v>update fft_order_express set delivery_sn = CONCAT(delivery_sn,'_0929'),s4_status = 0,dl_status = 0 where delivery_sn = 'D20220821124501000164';</v>
      </c>
      <c r="D54" t="str">
        <f t="shared" si="5"/>
        <v>update s_order set out_order_sn = CONCAT(out_order_sn,'_0929') where out_order_sn = 'D20220821124501000164';</v>
      </c>
    </row>
    <row r="55" spans="1:4">
      <c r="A55" t="s">
        <v>54</v>
      </c>
      <c r="B55" t="str">
        <f t="shared" si="3"/>
        <v>update fft_delivery_order set delivery_sn = CONCAT(delivery_sn,'_0929') where delivery_sn = 'D20220821131502000180';</v>
      </c>
      <c r="C55" t="str">
        <f t="shared" si="4"/>
        <v>update fft_order_express set delivery_sn = CONCAT(delivery_sn,'_0929'),s4_status = 0,dl_status = 0 where delivery_sn = 'D20220821131502000180';</v>
      </c>
      <c r="D55" t="str">
        <f t="shared" si="5"/>
        <v>update s_order set out_order_sn = CONCAT(out_order_sn,'_0929') where out_order_sn = 'D20220821131502000180';</v>
      </c>
    </row>
    <row r="56" spans="1:4">
      <c r="A56" t="s">
        <v>55</v>
      </c>
      <c r="B56" t="str">
        <f t="shared" si="3"/>
        <v>update fft_delivery_order set delivery_sn = CONCAT(delivery_sn,'_0929') where delivery_sn = 'D20220821131502000182';</v>
      </c>
      <c r="C56" t="str">
        <f t="shared" si="4"/>
        <v>update fft_order_express set delivery_sn = CONCAT(delivery_sn,'_0929'),s4_status = 0,dl_status = 0 where delivery_sn = 'D20220821131502000182';</v>
      </c>
      <c r="D56" t="str">
        <f t="shared" si="5"/>
        <v>update s_order set out_order_sn = CONCAT(out_order_sn,'_0929') where out_order_sn = 'D20220821131502000182';</v>
      </c>
    </row>
    <row r="57" spans="1:4">
      <c r="A57" t="s">
        <v>56</v>
      </c>
      <c r="B57" t="str">
        <f t="shared" si="3"/>
        <v>update fft_delivery_order set delivery_sn = CONCAT(delivery_sn,'_0929') where delivery_sn = 'D20220821133502000193_0830';</v>
      </c>
      <c r="C57" t="str">
        <f t="shared" si="4"/>
        <v>update fft_order_express set delivery_sn = CONCAT(delivery_sn,'_0929'),s4_status = 0,dl_status = 0 where delivery_sn = 'D20220821133502000193_0830';</v>
      </c>
      <c r="D57" t="str">
        <f t="shared" si="5"/>
        <v>update s_order set out_order_sn = CONCAT(out_order_sn,'_0929') where out_order_sn = 'D20220821133502000193_0830';</v>
      </c>
    </row>
    <row r="58" spans="1:4">
      <c r="A58" t="s">
        <v>57</v>
      </c>
      <c r="B58" t="str">
        <f t="shared" si="3"/>
        <v>update fft_delivery_order set delivery_sn = CONCAT(delivery_sn,'_0929') where delivery_sn = 'D20220821135002000201';</v>
      </c>
      <c r="C58" t="str">
        <f t="shared" si="4"/>
        <v>update fft_order_express set delivery_sn = CONCAT(delivery_sn,'_0929'),s4_status = 0,dl_status = 0 where delivery_sn = 'D20220821135002000201';</v>
      </c>
      <c r="D58" t="str">
        <f t="shared" si="5"/>
        <v>update s_order set out_order_sn = CONCAT(out_order_sn,'_0929') where out_order_sn = 'D20220821135002000201';</v>
      </c>
    </row>
    <row r="59" spans="1:4">
      <c r="A59" t="s">
        <v>58</v>
      </c>
      <c r="B59" t="str">
        <f t="shared" si="3"/>
        <v>update fft_delivery_order set delivery_sn = CONCAT(delivery_sn,'_0929') where delivery_sn = 'D20220821165002000295';</v>
      </c>
      <c r="C59" t="str">
        <f t="shared" si="4"/>
        <v>update fft_order_express set delivery_sn = CONCAT(delivery_sn,'_0929'),s4_status = 0,dl_status = 0 where delivery_sn = 'D20220821165002000295';</v>
      </c>
      <c r="D59" t="str">
        <f t="shared" si="5"/>
        <v>update s_order set out_order_sn = CONCAT(out_order_sn,'_0929') where out_order_sn = 'D20220821165002000295';</v>
      </c>
    </row>
    <row r="60" spans="1:4">
      <c r="A60" t="s">
        <v>59</v>
      </c>
      <c r="B60" t="str">
        <f t="shared" si="3"/>
        <v>update fft_delivery_order set delivery_sn = CONCAT(delivery_sn,'_0929') where delivery_sn = 'D20220821171501000321';</v>
      </c>
      <c r="C60" t="str">
        <f t="shared" si="4"/>
        <v>update fft_order_express set delivery_sn = CONCAT(delivery_sn,'_0929'),s4_status = 0,dl_status = 0 where delivery_sn = 'D20220821171501000321';</v>
      </c>
      <c r="D60" t="str">
        <f t="shared" si="5"/>
        <v>update s_order set out_order_sn = CONCAT(out_order_sn,'_0929') where out_order_sn = 'D20220821171501000321';</v>
      </c>
    </row>
    <row r="61" spans="1:4">
      <c r="A61" t="s">
        <v>60</v>
      </c>
      <c r="B61" t="str">
        <f t="shared" si="3"/>
        <v>update fft_delivery_order set delivery_sn = CONCAT(delivery_sn,'_0929') where delivery_sn = 'D20220821214501000477';</v>
      </c>
      <c r="C61" t="str">
        <f t="shared" si="4"/>
        <v>update fft_order_express set delivery_sn = CONCAT(delivery_sn,'_0929'),s4_status = 0,dl_status = 0 where delivery_sn = 'D20220821214501000477';</v>
      </c>
      <c r="D61" t="str">
        <f t="shared" si="5"/>
        <v>update s_order set out_order_sn = CONCAT(out_order_sn,'_0929') where out_order_sn = 'D20220821214501000477';</v>
      </c>
    </row>
    <row r="62" spans="1:4">
      <c r="A62" t="s">
        <v>61</v>
      </c>
      <c r="B62" t="str">
        <f t="shared" si="3"/>
        <v>update fft_delivery_order set delivery_sn = CONCAT(delivery_sn,'_0929') where delivery_sn = 'D20220821215002000481';</v>
      </c>
      <c r="C62" t="str">
        <f t="shared" si="4"/>
        <v>update fft_order_express set delivery_sn = CONCAT(delivery_sn,'_0929'),s4_status = 0,dl_status = 0 where delivery_sn = 'D20220821215002000481';</v>
      </c>
      <c r="D62" t="str">
        <f t="shared" si="5"/>
        <v>update s_order set out_order_sn = CONCAT(out_order_sn,'_0929') where out_order_sn = 'D20220821215002000481';</v>
      </c>
    </row>
    <row r="63" spans="1:4">
      <c r="A63" t="s">
        <v>62</v>
      </c>
      <c r="B63" t="str">
        <f t="shared" si="3"/>
        <v>update fft_delivery_order set delivery_sn = CONCAT(delivery_sn,'_0929') where delivery_sn = 'D20220822001501000008';</v>
      </c>
      <c r="C63" t="str">
        <f t="shared" si="4"/>
        <v>update fft_order_express set delivery_sn = CONCAT(delivery_sn,'_0929'),s4_status = 0,dl_status = 0 where delivery_sn = 'D20220822001501000008';</v>
      </c>
      <c r="D63" t="str">
        <f t="shared" si="5"/>
        <v>update s_order set out_order_sn = CONCAT(out_order_sn,'_0929') where out_order_sn = 'D20220822001501000008';</v>
      </c>
    </row>
    <row r="64" spans="1:4">
      <c r="A64" t="s">
        <v>63</v>
      </c>
      <c r="B64" t="str">
        <f t="shared" si="3"/>
        <v>update fft_delivery_order set delivery_sn = CONCAT(delivery_sn,'_0929') where delivery_sn = 'D20220822002001000009';</v>
      </c>
      <c r="C64" t="str">
        <f t="shared" si="4"/>
        <v>update fft_order_express set delivery_sn = CONCAT(delivery_sn,'_0929'),s4_status = 0,dl_status = 0 where delivery_sn = 'D20220822002001000009';</v>
      </c>
      <c r="D64" t="str">
        <f t="shared" si="5"/>
        <v>update s_order set out_order_sn = CONCAT(out_order_sn,'_0929') where out_order_sn = 'D20220822002001000009';</v>
      </c>
    </row>
    <row r="65" spans="1:4">
      <c r="A65" t="s">
        <v>64</v>
      </c>
      <c r="B65" t="str">
        <f t="shared" si="3"/>
        <v>update fft_delivery_order set delivery_sn = CONCAT(delivery_sn,'_0929') where delivery_sn = 'D20220822013502000026';</v>
      </c>
      <c r="C65" t="str">
        <f t="shared" si="4"/>
        <v>update fft_order_express set delivery_sn = CONCAT(delivery_sn,'_0929'),s4_status = 0,dl_status = 0 where delivery_sn = 'D20220822013502000026';</v>
      </c>
      <c r="D65" t="str">
        <f t="shared" si="5"/>
        <v>update s_order set out_order_sn = CONCAT(out_order_sn,'_0929') where out_order_sn = 'D20220822013502000026';</v>
      </c>
    </row>
    <row r="66" spans="1:4">
      <c r="A66" t="s">
        <v>65</v>
      </c>
      <c r="B66" t="str">
        <f t="shared" si="3"/>
        <v>update fft_delivery_order set delivery_sn = CONCAT(delivery_sn,'_0929') where delivery_sn = 'D20220822014001000027';</v>
      </c>
      <c r="C66" t="str">
        <f t="shared" si="4"/>
        <v>update fft_order_express set delivery_sn = CONCAT(delivery_sn,'_0929'),s4_status = 0,dl_status = 0 where delivery_sn = 'D20220822014001000027';</v>
      </c>
      <c r="D66" t="str">
        <f t="shared" si="5"/>
        <v>update s_order set out_order_sn = CONCAT(out_order_sn,'_0929') where out_order_sn = 'D20220822014001000027';</v>
      </c>
    </row>
    <row r="67" spans="1:4">
      <c r="A67" t="s">
        <v>66</v>
      </c>
      <c r="B67" t="str">
        <f t="shared" ref="B67:B98" si="6">CONCATENATE("update fft_delivery_order set delivery_sn = CONCAT(delivery_sn,'_0929') where delivery_sn = '",A67,"';")</f>
        <v>update fft_delivery_order set delivery_sn = CONCAT(delivery_sn,'_0929') where delivery_sn = 'D20220822095002000057';</v>
      </c>
      <c r="C67" t="str">
        <f t="shared" ref="C67:C98" si="7">CONCATENATE("update fft_order_express set delivery_sn = CONCAT(delivery_sn,'_0929'),s4_status = 0,dl_status = 0 where delivery_sn = '",A67,"';")</f>
        <v>update fft_order_express set delivery_sn = CONCAT(delivery_sn,'_0929'),s4_status = 0,dl_status = 0 where delivery_sn = 'D20220822095002000057';</v>
      </c>
      <c r="D67" t="str">
        <f t="shared" ref="D67:D98" si="8">CONCATENATE("update s_order set out_order_sn = CONCAT(out_order_sn,'_0929') where out_order_sn = '",A67,"';")</f>
        <v>update s_order set out_order_sn = CONCAT(out_order_sn,'_0929') where out_order_sn = 'D20220822095002000057';</v>
      </c>
    </row>
    <row r="68" spans="1:4">
      <c r="A68" t="s">
        <v>67</v>
      </c>
      <c r="B68" t="str">
        <f t="shared" si="6"/>
        <v>update fft_delivery_order set delivery_sn = CONCAT(delivery_sn,'_0929') where delivery_sn = 'D20220822115002000151';</v>
      </c>
      <c r="C68" t="str">
        <f t="shared" si="7"/>
        <v>update fft_order_express set delivery_sn = CONCAT(delivery_sn,'_0929'),s4_status = 0,dl_status = 0 where delivery_sn = 'D20220822115002000151';</v>
      </c>
      <c r="D68" t="str">
        <f t="shared" si="8"/>
        <v>update s_order set out_order_sn = CONCAT(out_order_sn,'_0929') where out_order_sn = 'D20220822115002000151';</v>
      </c>
    </row>
    <row r="69" spans="1:4">
      <c r="A69" t="s">
        <v>68</v>
      </c>
      <c r="B69" t="str">
        <f t="shared" si="6"/>
        <v>update fft_delivery_order set delivery_sn = CONCAT(delivery_sn,'_0929') where delivery_sn = 'D20220822115502000158';</v>
      </c>
      <c r="C69" t="str">
        <f t="shared" si="7"/>
        <v>update fft_order_express set delivery_sn = CONCAT(delivery_sn,'_0929'),s4_status = 0,dl_status = 0 where delivery_sn = 'D20220822115502000158';</v>
      </c>
      <c r="D69" t="str">
        <f t="shared" si="8"/>
        <v>update s_order set out_order_sn = CONCAT(out_order_sn,'_0929') where out_order_sn = 'D20220822115502000158';</v>
      </c>
    </row>
    <row r="70" spans="1:4">
      <c r="A70" t="s">
        <v>69</v>
      </c>
      <c r="B70" t="str">
        <f t="shared" si="6"/>
        <v>update fft_delivery_order set delivery_sn = CONCAT(delivery_sn,'_0929') where delivery_sn = 'D20220822120003000161';</v>
      </c>
      <c r="C70" t="str">
        <f t="shared" si="7"/>
        <v>update fft_order_express set delivery_sn = CONCAT(delivery_sn,'_0929'),s4_status = 0,dl_status = 0 where delivery_sn = 'D20220822120003000161';</v>
      </c>
      <c r="D70" t="str">
        <f t="shared" si="8"/>
        <v>update s_order set out_order_sn = CONCAT(out_order_sn,'_0929') where out_order_sn = 'D20220822120003000161';</v>
      </c>
    </row>
    <row r="71" spans="1:4">
      <c r="A71" t="s">
        <v>70</v>
      </c>
      <c r="B71" t="str">
        <f t="shared" si="6"/>
        <v>update fft_delivery_order set delivery_sn = CONCAT(delivery_sn,'_0929') where delivery_sn = 'D20220822120003000162';</v>
      </c>
      <c r="C71" t="str">
        <f t="shared" si="7"/>
        <v>update fft_order_express set delivery_sn = CONCAT(delivery_sn,'_0929'),s4_status = 0,dl_status = 0 where delivery_sn = 'D20220822120003000162';</v>
      </c>
      <c r="D71" t="str">
        <f t="shared" si="8"/>
        <v>update s_order set out_order_sn = CONCAT(out_order_sn,'_0929') where out_order_sn = 'D20220822120003000162';</v>
      </c>
    </row>
    <row r="72" spans="1:4">
      <c r="A72" t="s">
        <v>71</v>
      </c>
      <c r="B72" t="str">
        <f t="shared" si="6"/>
        <v>update fft_delivery_order set delivery_sn = CONCAT(delivery_sn,'_0929') where delivery_sn = 'D20220822121501000177';</v>
      </c>
      <c r="C72" t="str">
        <f t="shared" si="7"/>
        <v>update fft_order_express set delivery_sn = CONCAT(delivery_sn,'_0929'),s4_status = 0,dl_status = 0 where delivery_sn = 'D20220822121501000177';</v>
      </c>
      <c r="D72" t="str">
        <f t="shared" si="8"/>
        <v>update s_order set out_order_sn = CONCAT(out_order_sn,'_0929') where out_order_sn = 'D20220822121501000177';</v>
      </c>
    </row>
    <row r="73" spans="1:4">
      <c r="A73" t="s">
        <v>72</v>
      </c>
      <c r="B73" t="str">
        <f t="shared" si="6"/>
        <v>update fft_delivery_order set delivery_sn = CONCAT(delivery_sn,'_0929') where delivery_sn = 'D20220822121501000178';</v>
      </c>
      <c r="C73" t="str">
        <f t="shared" si="7"/>
        <v>update fft_order_express set delivery_sn = CONCAT(delivery_sn,'_0929'),s4_status = 0,dl_status = 0 where delivery_sn = 'D20220822121501000178';</v>
      </c>
      <c r="D73" t="str">
        <f t="shared" si="8"/>
        <v>update s_order set out_order_sn = CONCAT(out_order_sn,'_0929') where out_order_sn = 'D20220822121501000178';</v>
      </c>
    </row>
    <row r="74" spans="1:4">
      <c r="A74" t="s">
        <v>73</v>
      </c>
      <c r="B74" t="str">
        <f t="shared" si="6"/>
        <v>update fft_delivery_order set delivery_sn = CONCAT(delivery_sn,'_0929') where delivery_sn = 'D20220822125002000199';</v>
      </c>
      <c r="C74" t="str">
        <f t="shared" si="7"/>
        <v>update fft_order_express set delivery_sn = CONCAT(delivery_sn,'_0929'),s4_status = 0,dl_status = 0 where delivery_sn = 'D20220822125002000199';</v>
      </c>
      <c r="D74" t="str">
        <f t="shared" si="8"/>
        <v>update s_order set out_order_sn = CONCAT(out_order_sn,'_0929') where out_order_sn = 'D20220822125002000199';</v>
      </c>
    </row>
    <row r="75" spans="1:4">
      <c r="A75" t="s">
        <v>74</v>
      </c>
      <c r="B75" t="str">
        <f t="shared" si="6"/>
        <v>update fft_delivery_order set delivery_sn = CONCAT(delivery_sn,'_0929') where delivery_sn = 'D20220822125502000202';</v>
      </c>
      <c r="C75" t="str">
        <f t="shared" si="7"/>
        <v>update fft_order_express set delivery_sn = CONCAT(delivery_sn,'_0929'),s4_status = 0,dl_status = 0 where delivery_sn = 'D20220822125502000202';</v>
      </c>
      <c r="D75" t="str">
        <f t="shared" si="8"/>
        <v>update s_order set out_order_sn = CONCAT(out_order_sn,'_0929') where out_order_sn = 'D20220822125502000202';</v>
      </c>
    </row>
    <row r="76" spans="1:4">
      <c r="A76" t="s">
        <v>75</v>
      </c>
      <c r="B76" t="str">
        <f t="shared" si="6"/>
        <v>update fft_delivery_order set delivery_sn = CONCAT(delivery_sn,'_0929') where delivery_sn = 'D20220822130002000208';</v>
      </c>
      <c r="C76" t="str">
        <f t="shared" si="7"/>
        <v>update fft_order_express set delivery_sn = CONCAT(delivery_sn,'_0929'),s4_status = 0,dl_status = 0 where delivery_sn = 'D20220822130002000208';</v>
      </c>
      <c r="D76" t="str">
        <f t="shared" si="8"/>
        <v>update s_order set out_order_sn = CONCAT(out_order_sn,'_0929') where out_order_sn = 'D20220822130002000208';</v>
      </c>
    </row>
    <row r="77" spans="1:4">
      <c r="A77" t="s">
        <v>76</v>
      </c>
      <c r="B77" t="str">
        <f t="shared" si="6"/>
        <v>update fft_delivery_order set delivery_sn = CONCAT(delivery_sn,'_0929') where delivery_sn = 'D20220822131502000219';</v>
      </c>
      <c r="C77" t="str">
        <f t="shared" si="7"/>
        <v>update fft_order_express set delivery_sn = CONCAT(delivery_sn,'_0929'),s4_status = 0,dl_status = 0 where delivery_sn = 'D20220822131502000219';</v>
      </c>
      <c r="D77" t="str">
        <f t="shared" si="8"/>
        <v>update s_order set out_order_sn = CONCAT(out_order_sn,'_0929') where out_order_sn = 'D20220822131502000219';</v>
      </c>
    </row>
    <row r="78" spans="1:4">
      <c r="A78" t="s">
        <v>77</v>
      </c>
      <c r="B78" t="str">
        <f t="shared" si="6"/>
        <v>update fft_delivery_order set delivery_sn = CONCAT(delivery_sn,'_0929') where delivery_sn = 'D20220822131502000220';</v>
      </c>
      <c r="C78" t="str">
        <f t="shared" si="7"/>
        <v>update fft_order_express set delivery_sn = CONCAT(delivery_sn,'_0929'),s4_status = 0,dl_status = 0 where delivery_sn = 'D20220822131502000220';</v>
      </c>
      <c r="D78" t="str">
        <f t="shared" si="8"/>
        <v>update s_order set out_order_sn = CONCAT(out_order_sn,'_0929') where out_order_sn = 'D20220822131502000220';</v>
      </c>
    </row>
    <row r="79" spans="1:4">
      <c r="A79" t="s">
        <v>78</v>
      </c>
      <c r="B79" t="str">
        <f t="shared" si="6"/>
        <v>update fft_delivery_order set delivery_sn = CONCAT(delivery_sn,'_0929') where delivery_sn = 'D20220822132002000222';</v>
      </c>
      <c r="C79" t="str">
        <f t="shared" si="7"/>
        <v>update fft_order_express set delivery_sn = CONCAT(delivery_sn,'_0929'),s4_status = 0,dl_status = 0 where delivery_sn = 'D20220822132002000222';</v>
      </c>
      <c r="D79" t="str">
        <f t="shared" si="8"/>
        <v>update s_order set out_order_sn = CONCAT(out_order_sn,'_0929') where out_order_sn = 'D20220822132002000222';</v>
      </c>
    </row>
    <row r="80" spans="1:4">
      <c r="A80" t="s">
        <v>79</v>
      </c>
      <c r="B80" t="str">
        <f t="shared" si="6"/>
        <v>update fft_delivery_order set delivery_sn = CONCAT(delivery_sn,'_0929') where delivery_sn = 'D20220822162502000468';</v>
      </c>
      <c r="C80" t="str">
        <f t="shared" si="7"/>
        <v>update fft_order_express set delivery_sn = CONCAT(delivery_sn,'_0929'),s4_status = 0,dl_status = 0 where delivery_sn = 'D20220822162502000468';</v>
      </c>
      <c r="D80" t="str">
        <f t="shared" si="8"/>
        <v>update s_order set out_order_sn = CONCAT(out_order_sn,'_0929') where out_order_sn = 'D20220822162502000468';</v>
      </c>
    </row>
    <row r="81" spans="1:4">
      <c r="A81" t="s">
        <v>80</v>
      </c>
      <c r="B81" t="str">
        <f t="shared" si="6"/>
        <v>update fft_delivery_order set delivery_sn = CONCAT(delivery_sn,'_0929') where delivery_sn = 'D20220822163001000469';</v>
      </c>
      <c r="C81" t="str">
        <f t="shared" si="7"/>
        <v>update fft_order_express set delivery_sn = CONCAT(delivery_sn,'_0929'),s4_status = 0,dl_status = 0 where delivery_sn = 'D20220822163001000469';</v>
      </c>
      <c r="D81" t="str">
        <f t="shared" si="8"/>
        <v>update s_order set out_order_sn = CONCAT(out_order_sn,'_0929') where out_order_sn = 'D20220822163001000469';</v>
      </c>
    </row>
    <row r="82" spans="1:4">
      <c r="A82" t="s">
        <v>81</v>
      </c>
      <c r="B82" t="str">
        <f t="shared" si="6"/>
        <v>update fft_delivery_order set delivery_sn = CONCAT(delivery_sn,'_0929') where delivery_sn = 'D20220822192002000566';</v>
      </c>
      <c r="C82" t="str">
        <f t="shared" si="7"/>
        <v>update fft_order_express set delivery_sn = CONCAT(delivery_sn,'_0929'),s4_status = 0,dl_status = 0 where delivery_sn = 'D20220822192002000566';</v>
      </c>
      <c r="D82" t="str">
        <f t="shared" si="8"/>
        <v>update s_order set out_order_sn = CONCAT(out_order_sn,'_0929') where out_order_sn = 'D20220822192002000566';</v>
      </c>
    </row>
    <row r="83" spans="1:4">
      <c r="A83" t="s">
        <v>82</v>
      </c>
      <c r="B83" t="str">
        <f t="shared" si="6"/>
        <v>update fft_delivery_order set delivery_sn = CONCAT(delivery_sn,'_0929') where delivery_sn = 'D20220822193001000568';</v>
      </c>
      <c r="C83" t="str">
        <f t="shared" si="7"/>
        <v>update fft_order_express set delivery_sn = CONCAT(delivery_sn,'_0929'),s4_status = 0,dl_status = 0 where delivery_sn = 'D20220822193001000568';</v>
      </c>
      <c r="D83" t="str">
        <f t="shared" si="8"/>
        <v>update s_order set out_order_sn = CONCAT(out_order_sn,'_0929') where out_order_sn = 'D20220822193001000568';</v>
      </c>
    </row>
    <row r="84" spans="1:4">
      <c r="A84" t="s">
        <v>83</v>
      </c>
      <c r="B84" t="str">
        <f t="shared" si="6"/>
        <v>update fft_delivery_order set delivery_sn = CONCAT(delivery_sn,'_0929') where delivery_sn = 'D20220822205001000599';</v>
      </c>
      <c r="C84" t="str">
        <f t="shared" si="7"/>
        <v>update fft_order_express set delivery_sn = CONCAT(delivery_sn,'_0929'),s4_status = 0,dl_status = 0 where delivery_sn = 'D20220822205001000599';</v>
      </c>
      <c r="D84" t="str">
        <f t="shared" si="8"/>
        <v>update s_order set out_order_sn = CONCAT(out_order_sn,'_0929') where out_order_sn = 'D20220822205001000599';</v>
      </c>
    </row>
    <row r="85" spans="1:4">
      <c r="A85" t="s">
        <v>84</v>
      </c>
      <c r="B85" t="str">
        <f t="shared" si="6"/>
        <v>update fft_delivery_order set delivery_sn = CONCAT(delivery_sn,'_0929') where delivery_sn = 'D20220822205001000600';</v>
      </c>
      <c r="C85" t="str">
        <f t="shared" si="7"/>
        <v>update fft_order_express set delivery_sn = CONCAT(delivery_sn,'_0929'),s4_status = 0,dl_status = 0 where delivery_sn = 'D20220822205001000600';</v>
      </c>
      <c r="D85" t="str">
        <f t="shared" si="8"/>
        <v>update s_order set out_order_sn = CONCAT(out_order_sn,'_0929') where out_order_sn = 'D20220822205001000600';</v>
      </c>
    </row>
    <row r="86" spans="1:4">
      <c r="A86" t="s">
        <v>85</v>
      </c>
      <c r="B86" t="str">
        <f t="shared" si="6"/>
        <v>update fft_delivery_order set delivery_sn = CONCAT(delivery_sn,'_0929') where delivery_sn = 'D20220822205001000601';</v>
      </c>
      <c r="C86" t="str">
        <f t="shared" si="7"/>
        <v>update fft_order_express set delivery_sn = CONCAT(delivery_sn,'_0929'),s4_status = 0,dl_status = 0 where delivery_sn = 'D20220822205001000601';</v>
      </c>
      <c r="D86" t="str">
        <f t="shared" si="8"/>
        <v>update s_order set out_order_sn = CONCAT(out_order_sn,'_0929') where out_order_sn = 'D20220822205001000601';</v>
      </c>
    </row>
    <row r="87" spans="1:4">
      <c r="A87" t="s">
        <v>86</v>
      </c>
      <c r="B87" t="str">
        <f t="shared" si="6"/>
        <v>update fft_delivery_order set delivery_sn = CONCAT(delivery_sn,'_0929') where delivery_sn = 'D20220822205001000607';</v>
      </c>
      <c r="C87" t="str">
        <f t="shared" si="7"/>
        <v>update fft_order_express set delivery_sn = CONCAT(delivery_sn,'_0929'),s4_status = 0,dl_status = 0 where delivery_sn = 'D20220822205001000607';</v>
      </c>
      <c r="D87" t="str">
        <f t="shared" si="8"/>
        <v>update s_order set out_order_sn = CONCAT(out_order_sn,'_0929') where out_order_sn = 'D20220822205001000607';</v>
      </c>
    </row>
    <row r="88" spans="1:4">
      <c r="A88" t="s">
        <v>87</v>
      </c>
      <c r="B88" t="str">
        <f t="shared" si="6"/>
        <v>update fft_delivery_order set delivery_sn = CONCAT(delivery_sn,'_0929') where delivery_sn = 'D20220823204501000469';</v>
      </c>
      <c r="C88" t="str">
        <f t="shared" si="7"/>
        <v>update fft_order_express set delivery_sn = CONCAT(delivery_sn,'_0929'),s4_status = 0,dl_status = 0 where delivery_sn = 'D20220823204501000469';</v>
      </c>
      <c r="D88" t="str">
        <f t="shared" si="8"/>
        <v>update s_order set out_order_sn = CONCAT(out_order_sn,'_0929') where out_order_sn = 'D20220823204501000469';</v>
      </c>
    </row>
    <row r="89" spans="1:4">
      <c r="A89" t="s">
        <v>88</v>
      </c>
      <c r="B89" t="str">
        <f t="shared" si="6"/>
        <v>update fft_delivery_order set delivery_sn = CONCAT(delivery_sn,'_0929') where delivery_sn = 'D20220823233001000573';</v>
      </c>
      <c r="C89" t="str">
        <f t="shared" si="7"/>
        <v>update fft_order_express set delivery_sn = CONCAT(delivery_sn,'_0929'),s4_status = 0,dl_status = 0 where delivery_sn = 'D20220823233001000573';</v>
      </c>
      <c r="D89" t="str">
        <f t="shared" si="8"/>
        <v>update s_order set out_order_sn = CONCAT(out_order_sn,'_0929') where out_order_sn = 'D20220823233001000573';</v>
      </c>
    </row>
    <row r="90" spans="1:4">
      <c r="A90" t="s">
        <v>89</v>
      </c>
      <c r="B90" t="str">
        <f t="shared" si="6"/>
        <v>update fft_delivery_order set delivery_sn = CONCAT(delivery_sn,'_0929') where delivery_sn = 'D20220823233001000574';</v>
      </c>
      <c r="C90" t="str">
        <f t="shared" si="7"/>
        <v>update fft_order_express set delivery_sn = CONCAT(delivery_sn,'_0929'),s4_status = 0,dl_status = 0 where delivery_sn = 'D20220823233001000574';</v>
      </c>
      <c r="D90" t="str">
        <f t="shared" si="8"/>
        <v>update s_order set out_order_sn = CONCAT(out_order_sn,'_0929') where out_order_sn = 'D20220823233001000574';</v>
      </c>
    </row>
    <row r="91" spans="1:4">
      <c r="A91" t="s">
        <v>90</v>
      </c>
      <c r="B91" t="str">
        <f t="shared" si="6"/>
        <v>update fft_delivery_order set delivery_sn = CONCAT(delivery_sn,'_0929') where delivery_sn = 'D20220823233001000576';</v>
      </c>
      <c r="C91" t="str">
        <f t="shared" si="7"/>
        <v>update fft_order_express set delivery_sn = CONCAT(delivery_sn,'_0929'),s4_status = 0,dl_status = 0 where delivery_sn = 'D20220823233001000576';</v>
      </c>
      <c r="D91" t="str">
        <f t="shared" si="8"/>
        <v>update s_order set out_order_sn = CONCAT(out_order_sn,'_0929') where out_order_sn = 'D20220823233001000576';</v>
      </c>
    </row>
    <row r="92" spans="1:4">
      <c r="A92" t="s">
        <v>91</v>
      </c>
      <c r="B92" t="str">
        <f t="shared" si="6"/>
        <v>update fft_delivery_order set delivery_sn = CONCAT(delivery_sn,'_0929') where delivery_sn = 'D20220823233502000577';</v>
      </c>
      <c r="C92" t="str">
        <f t="shared" si="7"/>
        <v>update fft_order_express set delivery_sn = CONCAT(delivery_sn,'_0929'),s4_status = 0,dl_status = 0 where delivery_sn = 'D20220823233502000577';</v>
      </c>
      <c r="D92" t="str">
        <f t="shared" si="8"/>
        <v>update s_order set out_order_sn = CONCAT(out_order_sn,'_0929') where out_order_sn = 'D20220823233502000577';</v>
      </c>
    </row>
    <row r="93" spans="1:4">
      <c r="A93" t="s">
        <v>92</v>
      </c>
      <c r="B93" t="str">
        <f t="shared" si="6"/>
        <v>update fft_delivery_order set delivery_sn = CONCAT(delivery_sn,'_0929') where delivery_sn = 'D20220824034002000051';</v>
      </c>
      <c r="C93" t="str">
        <f t="shared" si="7"/>
        <v>update fft_order_express set delivery_sn = CONCAT(delivery_sn,'_0929'),s4_status = 0,dl_status = 0 where delivery_sn = 'D20220824034002000051';</v>
      </c>
      <c r="D93" t="str">
        <f t="shared" si="8"/>
        <v>update s_order set out_order_sn = CONCAT(out_order_sn,'_0929') where out_order_sn = 'D20220824034002000051';</v>
      </c>
    </row>
    <row r="94" spans="1:4">
      <c r="A94" t="s">
        <v>93</v>
      </c>
      <c r="B94" t="str">
        <f t="shared" si="6"/>
        <v>update fft_delivery_order set delivery_sn = CONCAT(delivery_sn,'_0929') where delivery_sn = 'D20220824034502000052';</v>
      </c>
      <c r="C94" t="str">
        <f t="shared" si="7"/>
        <v>update fft_order_express set delivery_sn = CONCAT(delivery_sn,'_0929'),s4_status = 0,dl_status = 0 where delivery_sn = 'D20220824034502000052';</v>
      </c>
      <c r="D94" t="str">
        <f t="shared" si="8"/>
        <v>update s_order set out_order_sn = CONCAT(out_order_sn,'_0929') where out_order_sn = 'D20220824034502000052';</v>
      </c>
    </row>
    <row r="95" spans="1:4">
      <c r="A95" t="s">
        <v>94</v>
      </c>
      <c r="B95" t="str">
        <f t="shared" si="6"/>
        <v>update fft_delivery_order set delivery_sn = CONCAT(delivery_sn,'_0929') where delivery_sn = 'D20220824110501000187';</v>
      </c>
      <c r="C95" t="str">
        <f t="shared" si="7"/>
        <v>update fft_order_express set delivery_sn = CONCAT(delivery_sn,'_0929'),s4_status = 0,dl_status = 0 where delivery_sn = 'D20220824110501000187';</v>
      </c>
      <c r="D95" t="str">
        <f t="shared" si="8"/>
        <v>update s_order set out_order_sn = CONCAT(out_order_sn,'_0929') where out_order_sn = 'D20220824110501000187';</v>
      </c>
    </row>
    <row r="96" spans="1:4">
      <c r="A96" t="s">
        <v>95</v>
      </c>
      <c r="B96" t="str">
        <f t="shared" si="6"/>
        <v>update fft_delivery_order set delivery_sn = CONCAT(delivery_sn,'_0929') where delivery_sn = 'D20220824110501000190';</v>
      </c>
      <c r="C96" t="str">
        <f t="shared" si="7"/>
        <v>update fft_order_express set delivery_sn = CONCAT(delivery_sn,'_0929'),s4_status = 0,dl_status = 0 where delivery_sn = 'D20220824110501000190';</v>
      </c>
      <c r="D96" t="str">
        <f t="shared" si="8"/>
        <v>update s_order set out_order_sn = CONCAT(out_order_sn,'_0929') where out_order_sn = 'D20220824110501000190';</v>
      </c>
    </row>
    <row r="97" spans="1:4">
      <c r="A97" t="s">
        <v>96</v>
      </c>
      <c r="B97" t="str">
        <f t="shared" si="6"/>
        <v>update fft_delivery_order set delivery_sn = CONCAT(delivery_sn,'_0929') where delivery_sn = 'D20220825083002000062';</v>
      </c>
      <c r="C97" t="str">
        <f t="shared" si="7"/>
        <v>update fft_order_express set delivery_sn = CONCAT(delivery_sn,'_0929'),s4_status = 0,dl_status = 0 where delivery_sn = 'D20220825083002000062';</v>
      </c>
      <c r="D97" t="str">
        <f t="shared" si="8"/>
        <v>update s_order set out_order_sn = CONCAT(out_order_sn,'_0929') where out_order_sn = 'D20220825083002000062';</v>
      </c>
    </row>
    <row r="98" spans="1:4">
      <c r="A98" t="s">
        <v>97</v>
      </c>
      <c r="B98" t="str">
        <f t="shared" si="6"/>
        <v>update fft_delivery_order set delivery_sn = CONCAT(delivery_sn,'_0929') where delivery_sn = 'D20220825083501000068';</v>
      </c>
      <c r="C98" t="str">
        <f t="shared" si="7"/>
        <v>update fft_order_express set delivery_sn = CONCAT(delivery_sn,'_0929'),s4_status = 0,dl_status = 0 where delivery_sn = 'D20220825083501000068';</v>
      </c>
      <c r="D98" t="str">
        <f t="shared" si="8"/>
        <v>update s_order set out_order_sn = CONCAT(out_order_sn,'_0929') where out_order_sn = 'D20220825083501000068';</v>
      </c>
    </row>
    <row r="99" spans="1:4">
      <c r="A99" t="s">
        <v>98</v>
      </c>
      <c r="B99" t="str">
        <f>CONCATENATE("update fft_delivery_order set delivery_sn = CONCAT(delivery_sn,'_0929') where delivery_sn = '",A99,"';")</f>
        <v>update fft_delivery_order set delivery_sn = CONCAT(delivery_sn,'_0929') where delivery_sn = 'D20220825142002000409';</v>
      </c>
      <c r="C99" t="str">
        <f>CONCATENATE("update fft_order_express set delivery_sn = CONCAT(delivery_sn,'_0929'),s4_status = 0,dl_status = 0 where delivery_sn = '",A99,"';")</f>
        <v>update fft_order_express set delivery_sn = CONCAT(delivery_sn,'_0929'),s4_status = 0,dl_status = 0 where delivery_sn = 'D20220825142002000409';</v>
      </c>
      <c r="D99" t="str">
        <f>CONCATENATE("update s_order set out_order_sn = CONCAT(out_order_sn,'_0929') where out_order_sn = '",A99,"';")</f>
        <v>update s_order set out_order_sn = CONCAT(out_order_sn,'_0929') where out_order_sn = 'D20220825142002000409';</v>
      </c>
    </row>
    <row r="100" spans="1:4">
      <c r="A100" t="s">
        <v>99</v>
      </c>
      <c r="B100" t="str">
        <f>CONCATENATE("update fft_delivery_order set delivery_sn = CONCAT(delivery_sn,'_0929') where delivery_sn = '",A100,"';")</f>
        <v>update fft_delivery_order set delivery_sn = CONCAT(delivery_sn,'_0929') where delivery_sn = 'D20220825142002000410';</v>
      </c>
      <c r="C100" t="str">
        <f>CONCATENATE("update fft_order_express set delivery_sn = CONCAT(delivery_sn,'_0929'),s4_status = 0,dl_status = 0 where delivery_sn = '",A100,"';")</f>
        <v>update fft_order_express set delivery_sn = CONCAT(delivery_sn,'_0929'),s4_status = 0,dl_status = 0 where delivery_sn = 'D20220825142002000410';</v>
      </c>
      <c r="D100" t="str">
        <f>CONCATENATE("update s_order set out_order_sn = CONCAT(out_order_sn,'_0929') where out_order_sn = '",A100,"';")</f>
        <v>update s_order set out_order_sn = CONCAT(out_order_sn,'_0929') where out_order_sn = 'D20220825142002000410';</v>
      </c>
    </row>
    <row r="101" spans="1:4">
      <c r="A101" t="s">
        <v>100</v>
      </c>
      <c r="B101" t="str">
        <f>CONCATENATE("update fft_delivery_order set delivery_sn = CONCAT(delivery_sn,'_0929') where delivery_sn = '",A101,"';")</f>
        <v>update fft_delivery_order set delivery_sn = CONCAT(delivery_sn,'_0929') where delivery_sn = 'D20220825142002000411';</v>
      </c>
      <c r="C101" t="str">
        <f>CONCATENATE("update fft_order_express set delivery_sn = CONCAT(delivery_sn,'_0929'),s4_status = 0,dl_status = 0 where delivery_sn = '",A101,"';")</f>
        <v>update fft_order_express set delivery_sn = CONCAT(delivery_sn,'_0929'),s4_status = 0,dl_status = 0 where delivery_sn = 'D20220825142002000411';</v>
      </c>
      <c r="D101" t="str">
        <f>CONCATENATE("update s_order set out_order_sn = CONCAT(out_order_sn,'_0929') where out_order_sn = '",A101,"';")</f>
        <v>update s_order set out_order_sn = CONCAT(out_order_sn,'_0929') where out_order_sn = 'D20220825142002000411';</v>
      </c>
    </row>
    <row r="102" spans="1:4">
      <c r="A102" t="s">
        <v>101</v>
      </c>
      <c r="B102" t="str">
        <f>CONCATENATE("update fft_delivery_order set delivery_sn = CONCAT(delivery_sn,'_0929') where delivery_sn = '",A102,"';")</f>
        <v>update fft_delivery_order set delivery_sn = CONCAT(delivery_sn,'_0929') where delivery_sn = 'D20220825142002000412';</v>
      </c>
      <c r="C102" t="str">
        <f>CONCATENATE("update fft_order_express set delivery_sn = CONCAT(delivery_sn,'_0929'),s4_status = 0,dl_status = 0 where delivery_sn = '",A102,"';")</f>
        <v>update fft_order_express set delivery_sn = CONCAT(delivery_sn,'_0929'),s4_status = 0,dl_status = 0 where delivery_sn = 'D20220825142002000412';</v>
      </c>
      <c r="D102" t="str">
        <f>CONCATENATE("update s_order set out_order_sn = CONCAT(out_order_sn,'_0929') where out_order_sn = '",A102,"';")</f>
        <v>update s_order set out_order_sn = CONCAT(out_order_sn,'_0929') where out_order_sn = 'D20220825142002000412';</v>
      </c>
    </row>
    <row r="103" spans="1:4">
      <c r="A103" t="s">
        <v>102</v>
      </c>
      <c r="B103" t="str">
        <f>CONCATENATE("update fft_delivery_order set delivery_sn = CONCAT(delivery_sn,'_0929') where delivery_sn = '",A103,"';")</f>
        <v>update fft_delivery_order set delivery_sn = CONCAT(delivery_sn,'_0929') where delivery_sn = 'D20220826100003000099';</v>
      </c>
      <c r="C103" t="str">
        <f>CONCATENATE("update fft_order_express set delivery_sn = CONCAT(delivery_sn,'_0929'),s4_status = 0,dl_status = 0 where delivery_sn = '",A103,"';")</f>
        <v>update fft_order_express set delivery_sn = CONCAT(delivery_sn,'_0929'),s4_status = 0,dl_status = 0 where delivery_sn = 'D20220826100003000099';</v>
      </c>
      <c r="D103" t="str">
        <f>CONCATENATE("update s_order set out_order_sn = CONCAT(out_order_sn,'_0929') where out_order_sn = '",A103,"';")</f>
        <v>update s_order set out_order_sn = CONCAT(out_order_sn,'_0929') where out_order_sn = 'D20220826100003000099';</v>
      </c>
    </row>
    <row r="104" spans="1:4">
      <c r="A104" t="s">
        <v>103</v>
      </c>
      <c r="B104" t="str">
        <f>CONCATENATE("update fft_delivery_order set delivery_sn = CONCAT(delivery_sn,'_0929') where delivery_sn = '",A104,"';")</f>
        <v>update fft_delivery_order set delivery_sn = CONCAT(delivery_sn,'_0929') where delivery_sn = 'D20220826100003000100';</v>
      </c>
      <c r="C104" t="str">
        <f>CONCATENATE("update fft_order_express set delivery_sn = CONCAT(delivery_sn,'_0929'),s4_status = 0,dl_status = 0 where delivery_sn = '",A104,"';")</f>
        <v>update fft_order_express set delivery_sn = CONCAT(delivery_sn,'_0929'),s4_status = 0,dl_status = 0 where delivery_sn = 'D20220826100003000100';</v>
      </c>
      <c r="D104" t="str">
        <f>CONCATENATE("update s_order set out_order_sn = CONCAT(out_order_sn,'_0929') where out_order_sn = '",A104,"';")</f>
        <v>update s_order set out_order_sn = CONCAT(out_order_sn,'_0929') where out_order_sn = 'D20220826100003000100';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3"/>
  <sheetViews>
    <sheetView workbookViewId="0">
      <selection activeCell="E4" sqref="E4"/>
    </sheetView>
  </sheetViews>
  <sheetFormatPr defaultColWidth="9" defaultRowHeight="15.75"/>
  <cols>
    <col min="1" max="1" width="39.875" customWidth="1"/>
  </cols>
  <sheetData>
    <row r="1" spans="1:1">
      <c r="A1" t="s">
        <v>1037</v>
      </c>
    </row>
    <row r="2" spans="1:1">
      <c r="A2" t="s">
        <v>1038</v>
      </c>
    </row>
    <row r="3" spans="1:1">
      <c r="A3" t="s">
        <v>1039</v>
      </c>
    </row>
    <row r="4" spans="1:1">
      <c r="A4" t="s">
        <v>1040</v>
      </c>
    </row>
    <row r="5" spans="1:1">
      <c r="A5" t="s">
        <v>1041</v>
      </c>
    </row>
    <row r="6" spans="1:1">
      <c r="A6" t="s">
        <v>1042</v>
      </c>
    </row>
    <row r="7" spans="1:1">
      <c r="A7" t="s">
        <v>1043</v>
      </c>
    </row>
    <row r="8" spans="1:1">
      <c r="A8" t="s">
        <v>1044</v>
      </c>
    </row>
    <row r="9" spans="1:1">
      <c r="A9" t="s">
        <v>1045</v>
      </c>
    </row>
    <row r="10" spans="1:1">
      <c r="A10" t="s">
        <v>1046</v>
      </c>
    </row>
    <row r="11" spans="1:1">
      <c r="A11" t="s">
        <v>1047</v>
      </c>
    </row>
    <row r="12" spans="1:1">
      <c r="A12" t="s">
        <v>1048</v>
      </c>
    </row>
    <row r="13" spans="1:1">
      <c r="A13" t="s">
        <v>1049</v>
      </c>
    </row>
    <row r="14" spans="1:1">
      <c r="A14" t="s">
        <v>1050</v>
      </c>
    </row>
    <row r="15" spans="1:1">
      <c r="A15" t="s">
        <v>1051</v>
      </c>
    </row>
    <row r="16" spans="1:1">
      <c r="A16" t="s">
        <v>1052</v>
      </c>
    </row>
    <row r="17" spans="1:1">
      <c r="A17" t="s">
        <v>1053</v>
      </c>
    </row>
    <row r="18" spans="1:1">
      <c r="A18" t="s">
        <v>1054</v>
      </c>
    </row>
    <row r="19" spans="1:1">
      <c r="A19" t="s">
        <v>1055</v>
      </c>
    </row>
    <row r="20" spans="1:1">
      <c r="A20" t="s">
        <v>1056</v>
      </c>
    </row>
    <row r="21" spans="1:1">
      <c r="A21" t="s">
        <v>1057</v>
      </c>
    </row>
    <row r="22" spans="1:1">
      <c r="A22" t="s">
        <v>1058</v>
      </c>
    </row>
    <row r="23" spans="1:1">
      <c r="A23" t="s">
        <v>1059</v>
      </c>
    </row>
    <row r="24" spans="1:1">
      <c r="A24" t="s">
        <v>1060</v>
      </c>
    </row>
    <row r="25" spans="1:1">
      <c r="A25" t="s">
        <v>1061</v>
      </c>
    </row>
    <row r="26" spans="1:1">
      <c r="A26" t="s">
        <v>1062</v>
      </c>
    </row>
    <row r="27" spans="1:1">
      <c r="A27" t="s">
        <v>1063</v>
      </c>
    </row>
    <row r="28" spans="1:1">
      <c r="A28" t="s">
        <v>1064</v>
      </c>
    </row>
    <row r="29" spans="1:1">
      <c r="A29" t="s">
        <v>1065</v>
      </c>
    </row>
    <row r="30" spans="1:1">
      <c r="A30" t="s">
        <v>1066</v>
      </c>
    </row>
    <row r="31" spans="1:1">
      <c r="A31" t="s">
        <v>1067</v>
      </c>
    </row>
    <row r="32" spans="1:1">
      <c r="A32" t="s">
        <v>1068</v>
      </c>
    </row>
    <row r="33" spans="1:1">
      <c r="A33" t="s">
        <v>1069</v>
      </c>
    </row>
    <row r="34" spans="1:1">
      <c r="A34" t="s">
        <v>1070</v>
      </c>
    </row>
    <row r="35" spans="1:1">
      <c r="A35" t="s">
        <v>1071</v>
      </c>
    </row>
    <row r="36" spans="1:1">
      <c r="A36" t="s">
        <v>1072</v>
      </c>
    </row>
    <row r="37" spans="1:1">
      <c r="A37" t="s">
        <v>1073</v>
      </c>
    </row>
    <row r="38" spans="1:1">
      <c r="A38" t="s">
        <v>1074</v>
      </c>
    </row>
    <row r="39" spans="1:1">
      <c r="A39" t="s">
        <v>1075</v>
      </c>
    </row>
    <row r="40" spans="1:1">
      <c r="A40" t="s">
        <v>1076</v>
      </c>
    </row>
    <row r="41" spans="1:1">
      <c r="A41" t="s">
        <v>1077</v>
      </c>
    </row>
    <row r="42" spans="1:1">
      <c r="A42" t="s">
        <v>1078</v>
      </c>
    </row>
    <row r="43" spans="1:1">
      <c r="A43" t="s">
        <v>1079</v>
      </c>
    </row>
    <row r="44" spans="1:1">
      <c r="A44" t="s">
        <v>1080</v>
      </c>
    </row>
    <row r="45" spans="1:1">
      <c r="A45" t="s">
        <v>1081</v>
      </c>
    </row>
    <row r="46" spans="1:1">
      <c r="A46" t="s">
        <v>1082</v>
      </c>
    </row>
    <row r="47" spans="1:1">
      <c r="A47" t="s">
        <v>1083</v>
      </c>
    </row>
    <row r="48" spans="1:1">
      <c r="A48" t="s">
        <v>1084</v>
      </c>
    </row>
    <row r="49" spans="1:1">
      <c r="A49" t="s">
        <v>1085</v>
      </c>
    </row>
    <row r="50" spans="1:1">
      <c r="A50" t="s">
        <v>1086</v>
      </c>
    </row>
    <row r="51" spans="1:1">
      <c r="A51" t="s">
        <v>1087</v>
      </c>
    </row>
    <row r="52" spans="1:1">
      <c r="A52" t="s">
        <v>1088</v>
      </c>
    </row>
    <row r="53" spans="1:1">
      <c r="A53" t="s">
        <v>1089</v>
      </c>
    </row>
    <row r="54" spans="1:1">
      <c r="A54" t="s">
        <v>1090</v>
      </c>
    </row>
    <row r="55" spans="1:1">
      <c r="A55" t="s">
        <v>1091</v>
      </c>
    </row>
    <row r="56" spans="1:1">
      <c r="A56" t="s">
        <v>1092</v>
      </c>
    </row>
    <row r="57" spans="1:1">
      <c r="A57" t="s">
        <v>1093</v>
      </c>
    </row>
    <row r="58" spans="1:1">
      <c r="A58" t="s">
        <v>1094</v>
      </c>
    </row>
    <row r="59" spans="1:1">
      <c r="A59" t="s">
        <v>1095</v>
      </c>
    </row>
    <row r="60" spans="1:1">
      <c r="A60" t="s">
        <v>1096</v>
      </c>
    </row>
    <row r="61" spans="1:1">
      <c r="A61" t="s">
        <v>1097</v>
      </c>
    </row>
    <row r="62" spans="1:1">
      <c r="A62" t="s">
        <v>1098</v>
      </c>
    </row>
    <row r="63" spans="1:1">
      <c r="A63" t="s">
        <v>1099</v>
      </c>
    </row>
    <row r="64" spans="1:1">
      <c r="A64" t="s">
        <v>1100</v>
      </c>
    </row>
    <row r="65" spans="1:1">
      <c r="A65" t="s">
        <v>1101</v>
      </c>
    </row>
    <row r="66" spans="1:1">
      <c r="A66" t="s">
        <v>1102</v>
      </c>
    </row>
    <row r="67" spans="1:1">
      <c r="A67" t="s">
        <v>1103</v>
      </c>
    </row>
    <row r="68" spans="1:1">
      <c r="A68" t="s">
        <v>1104</v>
      </c>
    </row>
    <row r="69" spans="1:1">
      <c r="A69" t="s">
        <v>1105</v>
      </c>
    </row>
    <row r="70" spans="1:1">
      <c r="A70" t="s">
        <v>1106</v>
      </c>
    </row>
    <row r="71" spans="1:1">
      <c r="A71" t="s">
        <v>1107</v>
      </c>
    </row>
    <row r="72" spans="1:1">
      <c r="A72" t="s">
        <v>1108</v>
      </c>
    </row>
    <row r="73" spans="1:1">
      <c r="A73" t="s">
        <v>1109</v>
      </c>
    </row>
    <row r="74" spans="1:1">
      <c r="A74" t="s">
        <v>1110</v>
      </c>
    </row>
    <row r="75" spans="1:1">
      <c r="A75" t="s">
        <v>1111</v>
      </c>
    </row>
    <row r="76" spans="1:1">
      <c r="A76" t="s">
        <v>1112</v>
      </c>
    </row>
    <row r="77" spans="1:1">
      <c r="A77" t="s">
        <v>1113</v>
      </c>
    </row>
    <row r="78" spans="1:1">
      <c r="A78" t="s">
        <v>1114</v>
      </c>
    </row>
    <row r="79" spans="1:1">
      <c r="A79" t="s">
        <v>1115</v>
      </c>
    </row>
    <row r="80" spans="1:1">
      <c r="A80" t="s">
        <v>1116</v>
      </c>
    </row>
    <row r="81" spans="1:1">
      <c r="A81" t="s">
        <v>1117</v>
      </c>
    </row>
    <row r="82" spans="1:1">
      <c r="A82" t="s">
        <v>1118</v>
      </c>
    </row>
    <row r="83" spans="1:1">
      <c r="A83" t="s">
        <v>1119</v>
      </c>
    </row>
    <row r="84" spans="1:1">
      <c r="A84" t="s">
        <v>1120</v>
      </c>
    </row>
    <row r="85" spans="1:1">
      <c r="A85" t="s">
        <v>1121</v>
      </c>
    </row>
    <row r="86" spans="1:1">
      <c r="A86" t="s">
        <v>1122</v>
      </c>
    </row>
    <row r="87" spans="1:1">
      <c r="A87" t="s">
        <v>1123</v>
      </c>
    </row>
    <row r="88" spans="1:1">
      <c r="A88" t="s">
        <v>1124</v>
      </c>
    </row>
    <row r="89" spans="1:1">
      <c r="A89" t="s">
        <v>1125</v>
      </c>
    </row>
    <row r="90" spans="1:1">
      <c r="A90" t="s">
        <v>1126</v>
      </c>
    </row>
    <row r="91" spans="1:1">
      <c r="A91" t="s">
        <v>1127</v>
      </c>
    </row>
    <row r="92" spans="1:1">
      <c r="A92" t="s">
        <v>1128</v>
      </c>
    </row>
    <row r="93" spans="1:1">
      <c r="A93" t="s">
        <v>1129</v>
      </c>
    </row>
    <row r="94" spans="1:1">
      <c r="A94" t="s">
        <v>1130</v>
      </c>
    </row>
    <row r="95" spans="1:1">
      <c r="A95" t="s">
        <v>1131</v>
      </c>
    </row>
    <row r="96" spans="1:1">
      <c r="A96" t="s">
        <v>1132</v>
      </c>
    </row>
    <row r="97" spans="1:1">
      <c r="A97" t="s">
        <v>1133</v>
      </c>
    </row>
    <row r="98" spans="1:1">
      <c r="A98" t="s">
        <v>1134</v>
      </c>
    </row>
    <row r="99" spans="1:1">
      <c r="A99" t="s">
        <v>1135</v>
      </c>
    </row>
    <row r="100" spans="1:1">
      <c r="A100" t="s">
        <v>1136</v>
      </c>
    </row>
    <row r="101" spans="1:1">
      <c r="A101" t="s">
        <v>1137</v>
      </c>
    </row>
    <row r="102" spans="1:1">
      <c r="A102" t="s">
        <v>1138</v>
      </c>
    </row>
    <row r="103" spans="1:1">
      <c r="A103" t="s">
        <v>1139</v>
      </c>
    </row>
  </sheetData>
  <pageMargins left="0.75" right="0.75" top="1" bottom="1" header="0.5" footer="0.5"/>
  <headerFooter/>
</worksheet>
</file>